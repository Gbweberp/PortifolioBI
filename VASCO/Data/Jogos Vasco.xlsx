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uário\Downloads\PORTIFOLIO BI\VASCO\Data\"/>
    </mc:Choice>
  </mc:AlternateContent>
  <xr:revisionPtr revIDLastSave="0" documentId="13_ncr:1_{EDEAABEA-F0B0-45CB-8CF9-3CA666F73FCD}" xr6:coauthVersionLast="36" xr6:coauthVersionMax="47" xr10:uidLastSave="{00000000-0000-0000-0000-000000000000}"/>
  <bookViews>
    <workbookView xWindow="0" yWindow="0" windowWidth="20490" windowHeight="6825" xr2:uid="{00000000-000D-0000-FFFF-FFFF00000000}"/>
  </bookViews>
  <sheets>
    <sheet name="BaseJogos" sheetId="1" r:id="rId1"/>
    <sheet name="Planilha4" sheetId="8" state="hidden" r:id="rId2"/>
    <sheet name="Nomes (2)" sheetId="11" state="hidden" r:id="rId3"/>
    <sheet name="Gols" sheetId="13" r:id="rId4"/>
  </sheets>
  <externalReferences>
    <externalReference r:id="rId5"/>
  </externalReferences>
  <definedNames>
    <definedName name="_xlnm._FilterDatabase" localSheetId="0" hidden="1">BaseJogos!$C$1:$C$112</definedName>
    <definedName name="_xlnm._FilterDatabase" localSheetId="3" hidden="1">Gols!$A$1:$E$156</definedName>
    <definedName name="Receita">[1]!Receit[#Data]</definedName>
  </definedNames>
  <calcPr calcId="191028"/>
  <pivotCaches>
    <pivotCache cacheId="4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7" i="13" l="1"/>
  <c r="I39" i="13" l="1"/>
  <c r="I40" i="13"/>
  <c r="I28" i="13"/>
  <c r="I10" i="13"/>
  <c r="I16" i="13"/>
  <c r="I41" i="13"/>
  <c r="I25" i="13"/>
  <c r="I24" i="13"/>
  <c r="I17" i="13"/>
  <c r="I8" i="13"/>
  <c r="I42" i="13"/>
  <c r="I43" i="13"/>
  <c r="I44" i="13"/>
  <c r="I45" i="13"/>
  <c r="I46" i="13"/>
  <c r="I18" i="13"/>
  <c r="I11" i="13"/>
  <c r="I6" i="13"/>
  <c r="I19" i="13"/>
  <c r="I12" i="13"/>
  <c r="I29" i="13"/>
  <c r="I30" i="13"/>
  <c r="I47" i="13"/>
  <c r="I5" i="13"/>
  <c r="I48" i="13"/>
  <c r="I49" i="13"/>
  <c r="I20" i="13"/>
  <c r="I50" i="13"/>
  <c r="I13" i="13"/>
  <c r="I31" i="13"/>
  <c r="I4" i="13"/>
  <c r="I27" i="13"/>
  <c r="I32" i="13"/>
  <c r="I2" i="13"/>
  <c r="I14" i="13"/>
  <c r="I15" i="13"/>
  <c r="I21" i="13"/>
  <c r="I33" i="13"/>
  <c r="I51" i="13"/>
  <c r="I34" i="13"/>
  <c r="I35" i="13"/>
  <c r="I22" i="13"/>
  <c r="I52" i="13"/>
  <c r="I36" i="13"/>
  <c r="I3" i="13"/>
  <c r="I53" i="13"/>
  <c r="I54" i="13"/>
  <c r="I26" i="13"/>
  <c r="I7" i="13"/>
  <c r="I55" i="13"/>
  <c r="I56" i="13"/>
  <c r="I57" i="13"/>
  <c r="I58" i="13"/>
  <c r="I59" i="13"/>
  <c r="I60" i="13"/>
  <c r="I9" i="13"/>
  <c r="I61" i="13"/>
  <c r="I62" i="13"/>
  <c r="I63" i="13"/>
  <c r="I64" i="13"/>
  <c r="I65" i="13"/>
  <c r="I66" i="13"/>
  <c r="I37" i="13"/>
  <c r="I23" i="13"/>
  <c r="I38" i="13"/>
  <c r="C54" i="11"/>
  <c r="G54" i="11" s="1"/>
  <c r="C55" i="11"/>
  <c r="G55" i="11" s="1"/>
  <c r="C53" i="11"/>
  <c r="C52" i="11"/>
  <c r="C7" i="11"/>
  <c r="C51" i="11"/>
  <c r="C50" i="11"/>
  <c r="C47" i="11"/>
  <c r="C48" i="11"/>
  <c r="C49" i="11"/>
  <c r="G53" i="11" l="1"/>
  <c r="G48" i="11"/>
  <c r="G51" i="11"/>
  <c r="G49" i="11"/>
  <c r="G50" i="11"/>
  <c r="G52" i="11"/>
  <c r="O3" i="11"/>
  <c r="C46" i="11"/>
  <c r="G47" i="11" s="1"/>
  <c r="C45" i="11"/>
  <c r="C41" i="11"/>
  <c r="C40" i="11"/>
  <c r="C39" i="11"/>
  <c r="C44" i="11"/>
  <c r="C38" i="11"/>
  <c r="C37" i="11"/>
  <c r="C36" i="11"/>
  <c r="C35" i="11"/>
  <c r="C34" i="11"/>
  <c r="C33" i="11"/>
  <c r="C32" i="11"/>
  <c r="C6" i="11"/>
  <c r="C31" i="11"/>
  <c r="C30" i="11"/>
  <c r="C29" i="11"/>
  <c r="C28" i="11"/>
  <c r="C27" i="11"/>
  <c r="C26" i="11"/>
  <c r="C25" i="11"/>
  <c r="C43" i="11"/>
  <c r="C24" i="11"/>
  <c r="C23" i="11"/>
  <c r="C22" i="11"/>
  <c r="C21" i="11"/>
  <c r="C20" i="11"/>
  <c r="C42" i="11"/>
  <c r="C19" i="11"/>
  <c r="C18" i="11"/>
  <c r="C4" i="11"/>
  <c r="C17" i="11"/>
  <c r="C16" i="11"/>
  <c r="C15" i="11"/>
  <c r="C14" i="11"/>
  <c r="C3" i="11"/>
  <c r="C13" i="11"/>
  <c r="C12" i="11"/>
  <c r="C11" i="11"/>
  <c r="C10" i="11"/>
  <c r="C9" i="11"/>
  <c r="C8" i="11"/>
  <c r="C2" i="11"/>
  <c r="C5" i="11"/>
  <c r="A55" i="11" l="1"/>
  <c r="A54" i="11"/>
  <c r="A53" i="11"/>
  <c r="A7" i="11"/>
  <c r="G46" i="11"/>
  <c r="A52" i="11"/>
  <c r="A51" i="11"/>
  <c r="A50" i="11"/>
  <c r="A49" i="11"/>
  <c r="A5" i="11"/>
  <c r="A11" i="11"/>
  <c r="G45" i="11"/>
  <c r="A45" i="11"/>
  <c r="A3" i="11"/>
  <c r="A22" i="11"/>
  <c r="A32" i="11"/>
  <c r="A31" i="11"/>
  <c r="A13" i="11"/>
  <c r="A23" i="11"/>
  <c r="A33" i="11"/>
  <c r="A12" i="11"/>
  <c r="A14" i="11"/>
  <c r="A42" i="11"/>
  <c r="A34" i="11"/>
  <c r="A21" i="11"/>
  <c r="A15" i="11"/>
  <c r="A24" i="11"/>
  <c r="A35" i="11"/>
  <c r="A16" i="11"/>
  <c r="A25" i="11"/>
  <c r="A36" i="11"/>
  <c r="G3" i="11"/>
  <c r="A2" i="11"/>
  <c r="A4" i="11"/>
  <c r="A26" i="11"/>
  <c r="A37" i="11"/>
  <c r="A17" i="11"/>
  <c r="A27" i="11"/>
  <c r="A43" i="11"/>
  <c r="A8" i="11"/>
  <c r="A18" i="11"/>
  <c r="A28" i="11"/>
  <c r="A38" i="11"/>
  <c r="A9" i="11"/>
  <c r="A41" i="11"/>
  <c r="A29" i="11"/>
  <c r="A39" i="11"/>
  <c r="A46" i="11"/>
  <c r="A10" i="11"/>
  <c r="A19" i="11"/>
  <c r="A30" i="11"/>
  <c r="A40" i="11"/>
  <c r="A47" i="11"/>
  <c r="A20" i="11"/>
  <c r="A6" i="11"/>
  <c r="G44" i="11"/>
  <c r="A44" i="11"/>
  <c r="A48" i="11"/>
  <c r="G16" i="11"/>
  <c r="G17" i="11"/>
  <c r="G12" i="11"/>
  <c r="G24" i="11"/>
  <c r="G2" i="11"/>
  <c r="G18" i="11"/>
  <c r="G32" i="11"/>
  <c r="G25" i="11"/>
  <c r="G8" i="11"/>
  <c r="G30" i="11"/>
  <c r="G7" i="11"/>
  <c r="G37" i="11"/>
  <c r="G27" i="11"/>
  <c r="G39" i="11"/>
  <c r="G19" i="11"/>
  <c r="G31" i="11"/>
  <c r="G43" i="11"/>
  <c r="G22" i="11"/>
  <c r="G23" i="11"/>
  <c r="G35" i="11"/>
  <c r="G36" i="11"/>
  <c r="G4" i="11"/>
  <c r="G28" i="11"/>
  <c r="G29" i="11"/>
  <c r="G41" i="11"/>
  <c r="G9" i="11"/>
  <c r="G21" i="11"/>
  <c r="G33" i="11"/>
  <c r="G10" i="11"/>
  <c r="G34" i="11"/>
  <c r="G11" i="11"/>
  <c r="G13" i="11"/>
  <c r="G14" i="11"/>
  <c r="G26" i="11"/>
  <c r="G38" i="11"/>
  <c r="G20" i="11"/>
  <c r="G15" i="11"/>
  <c r="G40" i="11"/>
  <c r="G5" i="11"/>
  <c r="G6" i="11"/>
  <c r="G42" i="11"/>
</calcChain>
</file>

<file path=xl/sharedStrings.xml><?xml version="1.0" encoding="utf-8"?>
<sst xmlns="http://schemas.openxmlformats.org/spreadsheetml/2006/main" count="2195" uniqueCount="345">
  <si>
    <t>JOGO</t>
  </si>
  <si>
    <t>Competição</t>
  </si>
  <si>
    <t>DIA</t>
  </si>
  <si>
    <t>ESTADIO</t>
  </si>
  <si>
    <t>PLACAR</t>
  </si>
  <si>
    <t>Resultado</t>
  </si>
  <si>
    <t>GOLS V</t>
  </si>
  <si>
    <t>GOLS ADV</t>
  </si>
  <si>
    <t>PUBLICO</t>
  </si>
  <si>
    <t>MANDO</t>
  </si>
  <si>
    <t>Vasco x Nautico</t>
  </si>
  <si>
    <t>Série A</t>
  </si>
  <si>
    <t>Arruda</t>
  </si>
  <si>
    <t>1x1</t>
  </si>
  <si>
    <t>Empate</t>
  </si>
  <si>
    <t>Edmundo</t>
  </si>
  <si>
    <t>Wellington</t>
  </si>
  <si>
    <t>Visitante</t>
  </si>
  <si>
    <t>Vasco x Sport</t>
  </si>
  <si>
    <t>Ilha do Retiro</t>
  </si>
  <si>
    <t>2x0</t>
  </si>
  <si>
    <t>Vitória</t>
  </si>
  <si>
    <t>Juninho , Tenorio</t>
  </si>
  <si>
    <t>Sem gol</t>
  </si>
  <si>
    <t>Vasco x Cruzeiro</t>
  </si>
  <si>
    <t>Maracana</t>
  </si>
  <si>
    <t>2x1</t>
  </si>
  <si>
    <t>Thalles,Edimilson</t>
  </si>
  <si>
    <t>Paulao</t>
  </si>
  <si>
    <t>Mandante</t>
  </si>
  <si>
    <t>Vasco x Flamengo</t>
  </si>
  <si>
    <t>Carioca</t>
  </si>
  <si>
    <t>1x0</t>
  </si>
  <si>
    <t>Gilberto</t>
  </si>
  <si>
    <t>Vasco x Athletico PR</t>
  </si>
  <si>
    <t>2X0</t>
  </si>
  <si>
    <t>Julio cesar,Nenê</t>
  </si>
  <si>
    <t>Vasco x Santos</t>
  </si>
  <si>
    <t>Sao januario</t>
  </si>
  <si>
    <t>Nenê</t>
  </si>
  <si>
    <t>Vasco x Ceara</t>
  </si>
  <si>
    <t>Série B</t>
  </si>
  <si>
    <t>Thalles, Thalles</t>
  </si>
  <si>
    <t>Vasco x Fluminense</t>
  </si>
  <si>
    <t>Engenhao</t>
  </si>
  <si>
    <t>0x3</t>
  </si>
  <si>
    <t>Derrota</t>
  </si>
  <si>
    <t>dourado,wellington,marcos junior</t>
  </si>
  <si>
    <t>Vasco x Portuguesa</t>
  </si>
  <si>
    <t>Thalles</t>
  </si>
  <si>
    <t>Vasco x Macae</t>
  </si>
  <si>
    <t>2x2</t>
  </si>
  <si>
    <t>Nenê,Rodrigo</t>
  </si>
  <si>
    <t>Hudson,Rafinha</t>
  </si>
  <si>
    <t>Leo,wellington,Richarlisson</t>
  </si>
  <si>
    <t>Vasco x Bahia</t>
  </si>
  <si>
    <t>Pikachu,L.Fabiano</t>
  </si>
  <si>
    <t>Gustavo</t>
  </si>
  <si>
    <t>Vasco x Atletico GO</t>
  </si>
  <si>
    <t>1X0</t>
  </si>
  <si>
    <t>20.658 </t>
  </si>
  <si>
    <t>Ramon</t>
  </si>
  <si>
    <t> 23.460</t>
  </si>
  <si>
    <t>Vasco x Botafogo</t>
  </si>
  <si>
    <t>Vasco x Volta Redonda</t>
  </si>
  <si>
    <t>3x1</t>
  </si>
  <si>
    <t>Cosenday,galhardo,contra</t>
  </si>
  <si>
    <t>Marcelo</t>
  </si>
  <si>
    <t>0x0</t>
  </si>
  <si>
    <t>3x2</t>
  </si>
  <si>
    <t>G.Augusto,Paulinho,Fabricio</t>
  </si>
  <si>
    <t>Pedro,Sornoza</t>
  </si>
  <si>
    <t>Pikachu,Pikachu,Rios</t>
  </si>
  <si>
    <t>Brenner,Renatinho</t>
  </si>
  <si>
    <t>0x1</t>
  </si>
  <si>
    <t>Carli</t>
  </si>
  <si>
    <t>Vasco x Atletico MG</t>
  </si>
  <si>
    <t>2X1</t>
  </si>
  <si>
    <t>Wagner,Pikachu</t>
  </si>
  <si>
    <t>Otero</t>
  </si>
  <si>
    <t>1x2</t>
  </si>
  <si>
    <t>Andrey</t>
  </si>
  <si>
    <t>Kieza,I.Rabello</t>
  </si>
  <si>
    <t>Vasco x Parana</t>
  </si>
  <si>
    <t>Pikachu</t>
  </si>
  <si>
    <t>Copa do Brasil</t>
  </si>
  <si>
    <t>Andrey,Pikachu</t>
  </si>
  <si>
    <t>0X3</t>
  </si>
  <si>
    <t>Gabigol,Gabigol,Gabigol</t>
  </si>
  <si>
    <t>Moca Bonita</t>
  </si>
  <si>
    <t xml:space="preserve">Danilo Barcelos </t>
  </si>
  <si>
    <t>Vasco x Bangu</t>
  </si>
  <si>
    <t>Tiago Reis</t>
  </si>
  <si>
    <t>A.Lessa,Marcos JR</t>
  </si>
  <si>
    <t>Bruno Cesar,Yan Sasse</t>
  </si>
  <si>
    <t>Yaya Banhoro</t>
  </si>
  <si>
    <t xml:space="preserve">Vasco x Avai </t>
  </si>
  <si>
    <t>Ricardo Graca</t>
  </si>
  <si>
    <t xml:space="preserve">Daniel Amorin </t>
  </si>
  <si>
    <t>Leandro Castam,Bruno Cesar</t>
  </si>
  <si>
    <t xml:space="preserve">Pedro </t>
  </si>
  <si>
    <t>Vasco x Sao Paulo</t>
  </si>
  <si>
    <t>Talles Magno,F.Bastos</t>
  </si>
  <si>
    <t>Madson</t>
  </si>
  <si>
    <t>Tailson</t>
  </si>
  <si>
    <t>Vasco x Fortaleza</t>
  </si>
  <si>
    <t xml:space="preserve">Vasco x Goias </t>
  </si>
  <si>
    <t>Guarin</t>
  </si>
  <si>
    <t>Henriquez contra</t>
  </si>
  <si>
    <t>Vasco x Chapecoense</t>
  </si>
  <si>
    <t xml:space="preserve"> Empate</t>
  </si>
  <si>
    <t>Locatelli</t>
  </si>
  <si>
    <t>Ygor Cassio</t>
  </si>
  <si>
    <t>Vasco x Oriente Petroleiro</t>
  </si>
  <si>
    <t>Sulamericana</t>
  </si>
  <si>
    <t>German Cano</t>
  </si>
  <si>
    <t>Vasco x ABC</t>
  </si>
  <si>
    <t>Vasco x Coritiba</t>
  </si>
  <si>
    <t xml:space="preserve">German Cano, Nenê </t>
  </si>
  <si>
    <t xml:space="preserve">Léo Gamalho </t>
  </si>
  <si>
    <t>Vasco x Madureira</t>
  </si>
  <si>
    <t>Conselheiro Galvão</t>
  </si>
  <si>
    <t>Gabriel Pec,Getúlio,Getúlio</t>
  </si>
  <si>
    <t>Pipico</t>
  </si>
  <si>
    <t>Gabigol</t>
  </si>
  <si>
    <t>William Arão</t>
  </si>
  <si>
    <t>Vasco x Vila Nova</t>
  </si>
  <si>
    <t>Raniel</t>
  </si>
  <si>
    <t>Arthur Rodrigues</t>
  </si>
  <si>
    <t>Vasco x Ponte Preta</t>
  </si>
  <si>
    <t>Vasco x Brusque</t>
  </si>
  <si>
    <t>Nenê, Nenê</t>
  </si>
  <si>
    <t>Vasco x Grêmio</t>
  </si>
  <si>
    <t>Vasco x Opérario</t>
  </si>
  <si>
    <t>3x0</t>
  </si>
  <si>
    <t>Quintero, Nenê, Palacios</t>
  </si>
  <si>
    <t>Vasco x Ituano</t>
  </si>
  <si>
    <t>Rafael Elias</t>
  </si>
  <si>
    <t>Vasco x Guarani</t>
  </si>
  <si>
    <t>Nenê, Eguinaldo</t>
  </si>
  <si>
    <t>Anderson Conceicção</t>
  </si>
  <si>
    <t>Vasco x Londrina</t>
  </si>
  <si>
    <t>Andrey Santos</t>
  </si>
  <si>
    <t>Caprini</t>
  </si>
  <si>
    <t>Vasco x Sampaio Correa</t>
  </si>
  <si>
    <t>2x3</t>
  </si>
  <si>
    <t>Anderson Conceição,Andrey Santos</t>
  </si>
  <si>
    <t>Pará, Gabriel Povoeda,Joécio</t>
  </si>
  <si>
    <t>Luso Brasileiro</t>
  </si>
  <si>
    <t>Nenê, Gabriel Pec</t>
  </si>
  <si>
    <t>0x2</t>
  </si>
  <si>
    <t>German Cano, German Cano</t>
  </si>
  <si>
    <t>Vasco x Boavista</t>
  </si>
  <si>
    <t>4x1</t>
  </si>
  <si>
    <t>Pedro Raul, Alex Texeira, Pumita, Pedro Raul</t>
  </si>
  <si>
    <t>Di Maria</t>
  </si>
  <si>
    <t>Gabriel Pec, Pedro Raul</t>
  </si>
  <si>
    <t>Gabriel Pec, Alex Texeira</t>
  </si>
  <si>
    <t>Arrascaeta, Pedro, Fabricio Bruno</t>
  </si>
  <si>
    <t>1x3</t>
  </si>
  <si>
    <t>Capasso</t>
  </si>
  <si>
    <t>Pedro, Pedro, Ayrton Lucas</t>
  </si>
  <si>
    <t>Vasco x Atletico Mineiro</t>
  </si>
  <si>
    <t>Mineirão</t>
  </si>
  <si>
    <t>Andrey, Gabriel Pec</t>
  </si>
  <si>
    <t>Mauricio Lemos</t>
  </si>
  <si>
    <t>Pedro Raul</t>
  </si>
  <si>
    <t>Lima</t>
  </si>
  <si>
    <t>1x4</t>
  </si>
  <si>
    <t>Jair</t>
  </si>
  <si>
    <t>Pulgar,Gerson, Pedro, Ayrton Lucas</t>
  </si>
  <si>
    <t>Vasco x Goiás</t>
  </si>
  <si>
    <t>Everton Morelli</t>
  </si>
  <si>
    <t>Serginho</t>
  </si>
  <si>
    <t>Vasco x Palmeiras</t>
  </si>
  <si>
    <t>Allianz Parque</t>
  </si>
  <si>
    <t>Raphael Veiga</t>
  </si>
  <si>
    <t>4x2</t>
  </si>
  <si>
    <t>Praxedes, Vegetti, Gabriel Pec, Gabriel Pec</t>
  </si>
  <si>
    <t>Marcelo, Lima</t>
  </si>
  <si>
    <t>5x1</t>
  </si>
  <si>
    <t>Zé Gabriel, Rossi,Vegetti, Vegetti, Gabriel Pec</t>
  </si>
  <si>
    <t>Sebastian Gomez</t>
  </si>
  <si>
    <t>Vasco x São Paulo</t>
  </si>
  <si>
    <t>Dimitri Payet</t>
  </si>
  <si>
    <t>Gerson</t>
  </si>
  <si>
    <t>Vasco x Internacional</t>
  </si>
  <si>
    <t>Alex Texeira</t>
  </si>
  <si>
    <t>Mauricio, Enner Valencia</t>
  </si>
  <si>
    <t>Paulo Henrique</t>
  </si>
  <si>
    <t>Vasco x América MG</t>
  </si>
  <si>
    <t>Vegetti, Dimitri Payet</t>
  </si>
  <si>
    <t>Mastriani</t>
  </si>
  <si>
    <t>Vasco x Corinthians</t>
  </si>
  <si>
    <t>2X4</t>
  </si>
  <si>
    <t>Pumita, Vegetti</t>
  </si>
  <si>
    <t>Romero, Romero, Moscarado, Giovane</t>
  </si>
  <si>
    <t>Vasco x Bragantino</t>
  </si>
  <si>
    <t>Paulinho Paula, Serginho</t>
  </si>
  <si>
    <t>Léo Ortiz</t>
  </si>
  <si>
    <t>Capasso, Leandrinho</t>
  </si>
  <si>
    <t>Léo Pelé, Rayan</t>
  </si>
  <si>
    <t>Vasco x Agua Santa</t>
  </si>
  <si>
    <t>3x3</t>
  </si>
  <si>
    <t>Galdames, Vegetti, Lucas Piton</t>
  </si>
  <si>
    <t>Neilton, Andre Robles, Luan dias</t>
  </si>
  <si>
    <t>Vasco x Nova Iguaçu</t>
  </si>
  <si>
    <t>Lucas Piton</t>
  </si>
  <si>
    <t>Xandinho</t>
  </si>
  <si>
    <t>Bill</t>
  </si>
  <si>
    <t>Vegetti</t>
  </si>
  <si>
    <t>Ganso, Martinelli</t>
  </si>
  <si>
    <t>Vasco x Criciuma</t>
  </si>
  <si>
    <t>0X4</t>
  </si>
  <si>
    <t>Fellipe Matheus, Fellipe Matheus, Yannick Bolaise, Higor Meritao</t>
  </si>
  <si>
    <t>Vasco x Vitoria</t>
  </si>
  <si>
    <t>Maicom, Vegetti</t>
  </si>
  <si>
    <t>Iury Castilho</t>
  </si>
  <si>
    <t>1X6</t>
  </si>
  <si>
    <t>Everton, Pedro, David Luiz, Arrascaeta, Bruno Henrique, Gabigol</t>
  </si>
  <si>
    <t>Matheus Cocao, Vegetti</t>
  </si>
  <si>
    <t>Lucas Piton, Sforza</t>
  </si>
  <si>
    <t>GB, Adson</t>
  </si>
  <si>
    <t>Jhon Jhon, Helinho</t>
  </si>
  <si>
    <t>Vegetti, Vitor Luis</t>
  </si>
  <si>
    <t>Emerson Rodriguez, Vegetti</t>
  </si>
  <si>
    <t>Gabriel Girotto</t>
  </si>
  <si>
    <t>Pumita, Hugo Moura</t>
  </si>
  <si>
    <t>Cristhian</t>
  </si>
  <si>
    <t>Vasco x Juventude</t>
  </si>
  <si>
    <t>Erick Carioca</t>
  </si>
  <si>
    <t>Vasco x Cuiabá</t>
  </si>
  <si>
    <t>Hugo Moura</t>
  </si>
  <si>
    <t>Emerson Rodriguez, Dimitri Payet, Dimitri Payet</t>
  </si>
  <si>
    <t>Luciano Rodriguez, Ademir</t>
  </si>
  <si>
    <t>Wesley</t>
  </si>
  <si>
    <t>Vasco x Atlético MG</t>
  </si>
  <si>
    <t>Vegetti, Philipe Coutinho</t>
  </si>
  <si>
    <t>Vasco x Marica</t>
  </si>
  <si>
    <t>Nuno Moreira, Vegetti</t>
  </si>
  <si>
    <t>Barreal</t>
  </si>
  <si>
    <t>Vasco x Puerto Cabello</t>
  </si>
  <si>
    <t>Vasco x Lanus</t>
  </si>
  <si>
    <t>0X0</t>
  </si>
  <si>
    <t>empate</t>
  </si>
  <si>
    <t>Vasco x Operário</t>
  </si>
  <si>
    <t>Rayan</t>
  </si>
  <si>
    <t>Ademilson</t>
  </si>
  <si>
    <t>Vasco x Independente Del Valle</t>
  </si>
  <si>
    <t>1X1</t>
  </si>
  <si>
    <t>Spinelli</t>
  </si>
  <si>
    <t>Rótulos de Linha</t>
  </si>
  <si>
    <t>Contagem de JOGO</t>
  </si>
  <si>
    <t>Total Geral</t>
  </si>
  <si>
    <t>Nome</t>
  </si>
  <si>
    <t>Gols</t>
  </si>
  <si>
    <t>Comp</t>
  </si>
  <si>
    <t>Estad</t>
  </si>
  <si>
    <t>g1</t>
  </si>
  <si>
    <t>g2</t>
  </si>
  <si>
    <t>g3</t>
  </si>
  <si>
    <t>g4</t>
  </si>
  <si>
    <t>Pedro</t>
  </si>
  <si>
    <t/>
  </si>
  <si>
    <t>dourado</t>
  </si>
  <si>
    <t>Hudson</t>
  </si>
  <si>
    <t>Leo</t>
  </si>
  <si>
    <t>wellington</t>
  </si>
  <si>
    <t>marcos junior</t>
  </si>
  <si>
    <t>Rafinha</t>
  </si>
  <si>
    <t>Brenner</t>
  </si>
  <si>
    <t>Richarlisson</t>
  </si>
  <si>
    <t>Kieza</t>
  </si>
  <si>
    <t>A.Lessa</t>
  </si>
  <si>
    <t>Daniel Amorin</t>
  </si>
  <si>
    <t>Sornoza</t>
  </si>
  <si>
    <t>Renatinho</t>
  </si>
  <si>
    <t>I.Rabello</t>
  </si>
  <si>
    <t>Léo Gamalho</t>
  </si>
  <si>
    <t>Marcos JR</t>
  </si>
  <si>
    <t>Pará</t>
  </si>
  <si>
    <t>Arrascaeta</t>
  </si>
  <si>
    <t>Joécio</t>
  </si>
  <si>
    <t>Gabriel Povoeda</t>
  </si>
  <si>
    <t>Fabricio Bruno</t>
  </si>
  <si>
    <t>Ayrton Lucas</t>
  </si>
  <si>
    <t>Pulgar</t>
  </si>
  <si>
    <t>Marcelo 12</t>
  </si>
  <si>
    <t>Mauricio</t>
  </si>
  <si>
    <t>Enner Valencia</t>
  </si>
  <si>
    <t>Serie A</t>
  </si>
  <si>
    <t xml:space="preserve"> Pedro</t>
  </si>
  <si>
    <t xml:space="preserve"> Ayrton Lucas</t>
  </si>
  <si>
    <t>Séria A</t>
  </si>
  <si>
    <t>-</t>
  </si>
  <si>
    <t>Juninho</t>
  </si>
  <si>
    <t>Tenorio</t>
  </si>
  <si>
    <t>Edimilson</t>
  </si>
  <si>
    <t>Gabriel Pec</t>
  </si>
  <si>
    <t>Vasco x Atletico PR</t>
  </si>
  <si>
    <t>Julio cesar</t>
  </si>
  <si>
    <t>Pumita</t>
  </si>
  <si>
    <t>Rodrigo</t>
  </si>
  <si>
    <t>Danilo Barcelos</t>
  </si>
  <si>
    <t>Bruno Cesar</t>
  </si>
  <si>
    <t>L.Fabiano</t>
  </si>
  <si>
    <t>Getúlio</t>
  </si>
  <si>
    <t xml:space="preserve">ctrl t </t>
  </si>
  <si>
    <t>Cosenday</t>
  </si>
  <si>
    <t>Emerson Rodriguez</t>
  </si>
  <si>
    <t>Tiago Galhardo</t>
  </si>
  <si>
    <t>Gol Contra</t>
  </si>
  <si>
    <t>G.Augusto</t>
  </si>
  <si>
    <t>Paulinho</t>
  </si>
  <si>
    <t>Fabricio</t>
  </si>
  <si>
    <t>Rios</t>
  </si>
  <si>
    <t>Wagner</t>
  </si>
  <si>
    <t>Yan Sasse</t>
  </si>
  <si>
    <t>Leandro Castam</t>
  </si>
  <si>
    <t>Talles Magno</t>
  </si>
  <si>
    <t>F.Bastos</t>
  </si>
  <si>
    <t>Quintero</t>
  </si>
  <si>
    <t>Palacios</t>
  </si>
  <si>
    <t>Eguinaldo</t>
  </si>
  <si>
    <t>Anderson Conceição</t>
  </si>
  <si>
    <t>Praxedes</t>
  </si>
  <si>
    <t>Zé Gabriel</t>
  </si>
  <si>
    <t>Rossi</t>
  </si>
  <si>
    <t>Paulinho Paula</t>
  </si>
  <si>
    <t>Leandrinho</t>
  </si>
  <si>
    <t>Léo Pelé</t>
  </si>
  <si>
    <t>Galdames</t>
  </si>
  <si>
    <t>Maicom</t>
  </si>
  <si>
    <t>Matheus Cocao</t>
  </si>
  <si>
    <t>Sforza</t>
  </si>
  <si>
    <t>GB</t>
  </si>
  <si>
    <t>Adson</t>
  </si>
  <si>
    <t>Vitor Luis</t>
  </si>
  <si>
    <t>Nuno Moreira</t>
  </si>
  <si>
    <t xml:space="preserve">            04/12/2024</t>
  </si>
  <si>
    <t>Philipe Coutinho</t>
  </si>
  <si>
    <t>Vasco x Maricá</t>
  </si>
  <si>
    <t xml:space="preserve">Vasco x Goiás </t>
  </si>
  <si>
    <t>Guilherme Lopes, Isidro Pitta</t>
  </si>
  <si>
    <t>Arthur Cabral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</si>
</sst>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16]d\-mmm\-yy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indexed="64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 style="thin">
        <color theme="1"/>
      </top>
      <bottom/>
      <diagonal/>
    </border>
    <border>
      <left/>
      <right style="medium">
        <color indexed="64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/>
      <right style="medium">
        <color indexed="64"/>
      </right>
      <top style="thin">
        <color theme="1"/>
      </top>
      <bottom style="thin">
        <color theme="1"/>
      </bottom>
      <diagonal/>
    </border>
    <border>
      <left style="medium">
        <color auto="1"/>
      </left>
      <right style="medium">
        <color indexed="64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4" fillId="0" borderId="0"/>
  </cellStyleXfs>
  <cellXfs count="52">
    <xf numFmtId="0" fontId="0" fillId="0" borderId="0" xfId="0"/>
    <xf numFmtId="3" fontId="0" fillId="0" borderId="2" xfId="0" applyNumberFormat="1" applyBorder="1" applyAlignment="1">
      <alignment horizontal="center"/>
    </xf>
    <xf numFmtId="0" fontId="0" fillId="0" borderId="0" xfId="0" pivotButton="1"/>
    <xf numFmtId="3" fontId="0" fillId="0" borderId="3" xfId="0" applyNumberForma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/>
    <xf numFmtId="2" fontId="0" fillId="0" borderId="2" xfId="0" applyNumberFormat="1" applyBorder="1" applyAlignment="1">
      <alignment horizontal="center"/>
    </xf>
    <xf numFmtId="0" fontId="0" fillId="0" borderId="4" xfId="0" applyBorder="1"/>
    <xf numFmtId="16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3" fillId="0" borderId="1" xfId="0" applyFont="1" applyBorder="1"/>
    <xf numFmtId="14" fontId="3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3" fontId="3" fillId="0" borderId="2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2" xfId="0" applyBorder="1"/>
    <xf numFmtId="0" fontId="0" fillId="0" borderId="7" xfId="0" applyBorder="1"/>
    <xf numFmtId="0" fontId="0" fillId="0" borderId="8" xfId="0" applyBorder="1"/>
    <xf numFmtId="14" fontId="0" fillId="0" borderId="6" xfId="0" applyNumberFormat="1" applyBorder="1" applyAlignment="1">
      <alignment horizontal="center"/>
    </xf>
    <xf numFmtId="0" fontId="0" fillId="0" borderId="9" xfId="0" applyBorder="1"/>
    <xf numFmtId="0" fontId="0" fillId="0" borderId="10" xfId="0" applyBorder="1"/>
    <xf numFmtId="14" fontId="0" fillId="0" borderId="11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Fill="1" applyBorder="1" applyAlignment="1">
      <alignment horizontal="center"/>
    </xf>
    <xf numFmtId="14" fontId="0" fillId="0" borderId="6" xfId="0" applyNumberFormat="1" applyFont="1" applyBorder="1" applyAlignment="1">
      <alignment horizontal="center"/>
    </xf>
    <xf numFmtId="14" fontId="0" fillId="0" borderId="2" xfId="0" applyNumberFormat="1" applyFont="1" applyBorder="1" applyAlignment="1">
      <alignment horizontal="center"/>
    </xf>
    <xf numFmtId="0" fontId="0" fillId="0" borderId="1" xfId="0" applyFont="1" applyBorder="1"/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0" borderId="0" xfId="0" applyNumberFormat="1"/>
    <xf numFmtId="0" fontId="1" fillId="0" borderId="1" xfId="0" applyFont="1" applyBorder="1"/>
    <xf numFmtId="14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2" fontId="1" fillId="0" borderId="2" xfId="0" applyNumberFormat="1" applyFont="1" applyBorder="1" applyAlignment="1">
      <alignment horizontal="center"/>
    </xf>
    <xf numFmtId="3" fontId="1" fillId="0" borderId="3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/>
    <xf numFmtId="0" fontId="0" fillId="0" borderId="9" xfId="0" applyFont="1" applyBorder="1"/>
    <xf numFmtId="0" fontId="0" fillId="0" borderId="10" xfId="0" applyFont="1" applyBorder="1"/>
    <xf numFmtId="14" fontId="0" fillId="0" borderId="11" xfId="0" applyNumberFormat="1" applyFont="1" applyBorder="1" applyAlignment="1">
      <alignment horizontal="center"/>
    </xf>
    <xf numFmtId="0" fontId="0" fillId="0" borderId="11" xfId="0" applyFont="1" applyBorder="1" applyAlignment="1">
      <alignment horizontal="center"/>
    </xf>
  </cellXfs>
  <cellStyles count="2">
    <cellStyle name="Normal" xfId="0" builtinId="0"/>
    <cellStyle name="Normal 2" xfId="1" xr:uid="{8C0F89AD-6FB0-4044-BA42-2F3336B0864E}"/>
  </cellStyles>
  <dxfs count="58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medium">
          <color auto="1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medium">
          <color auto="1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medium">
          <color auto="1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medium">
          <color auto="1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medium">
          <color auto="1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medium">
          <color auto="1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 style="medium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 style="medium">
          <color indexed="64"/>
        </right>
        <top/>
        <bottom/>
      </border>
    </dxf>
    <dxf>
      <border outline="0">
        <bottom style="medium">
          <color auto="1"/>
        </bottom>
      </border>
    </dxf>
    <dxf>
      <border outline="0">
        <right style="medium">
          <color indexed="64"/>
        </right>
        <top style="medium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medium">
          <color auto="1"/>
        </left>
        <right style="medium">
          <color auto="1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medium">
          <color auto="1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auto="1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medium">
          <color auto="1"/>
        </left>
        <right style="medium">
          <color indexed="64"/>
        </right>
        <top/>
        <bottom/>
        <vertical/>
        <horizontal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2" defaultTableStyle="Table Style 2" defaultPivotStyle="PivotStyleLight16">
    <tableStyle name="Table Style 1" pivot="0" count="0" xr9:uid="{DD49D4EF-86EA-4CD4-9816-14E754E16939}"/>
    <tableStyle name="Table Style 2" pivot="0" count="0" xr9:uid="{6B6F9638-2748-44FC-BF9A-59943E083B9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582970047199042"/>
          <c:y val="1.42095941240158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9.9911684859135097E-2"/>
          <c:y val="0.19486108951670189"/>
          <c:w val="0.8580439632545932"/>
          <c:h val="0.72088764946048411"/>
        </c:manualLayout>
      </c:layout>
      <c:lineChart>
        <c:grouping val="standard"/>
        <c:varyColors val="0"/>
        <c:ser>
          <c:idx val="0"/>
          <c:order val="0"/>
          <c:tx>
            <c:strRef>
              <c:f>BaseJogos!$I$1</c:f>
              <c:strCache>
                <c:ptCount val="1"/>
                <c:pt idx="0">
                  <c:v>PUBLICO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movingAvg"/>
            <c:period val="2"/>
            <c:dispRSqr val="0"/>
            <c:dispEq val="0"/>
          </c:trendline>
          <c:val>
            <c:numRef>
              <c:f>BaseJogos!$I$2:$I$113</c:f>
              <c:numCache>
                <c:formatCode>#,##0</c:formatCode>
                <c:ptCount val="112"/>
                <c:pt idx="0">
                  <c:v>20655</c:v>
                </c:pt>
                <c:pt idx="1">
                  <c:v>15544</c:v>
                </c:pt>
                <c:pt idx="2">
                  <c:v>32988</c:v>
                </c:pt>
                <c:pt idx="3">
                  <c:v>53124</c:v>
                </c:pt>
                <c:pt idx="4">
                  <c:v>10805</c:v>
                </c:pt>
                <c:pt idx="5">
                  <c:v>11618</c:v>
                </c:pt>
                <c:pt idx="6">
                  <c:v>56426</c:v>
                </c:pt>
                <c:pt idx="7">
                  <c:v>11711</c:v>
                </c:pt>
                <c:pt idx="8">
                  <c:v>6485</c:v>
                </c:pt>
                <c:pt idx="9">
                  <c:v>6386</c:v>
                </c:pt>
                <c:pt idx="10">
                  <c:v>23564</c:v>
                </c:pt>
                <c:pt idx="11">
                  <c:v>19030</c:v>
                </c:pt>
                <c:pt idx="12">
                  <c:v>0</c:v>
                </c:pt>
                <c:pt idx="13">
                  <c:v>0</c:v>
                </c:pt>
                <c:pt idx="14">
                  <c:v>31406</c:v>
                </c:pt>
                <c:pt idx="15">
                  <c:v>2693</c:v>
                </c:pt>
                <c:pt idx="16">
                  <c:v>6463</c:v>
                </c:pt>
                <c:pt idx="17">
                  <c:v>21788</c:v>
                </c:pt>
                <c:pt idx="18">
                  <c:v>19117</c:v>
                </c:pt>
                <c:pt idx="19">
                  <c:v>64200</c:v>
                </c:pt>
                <c:pt idx="20">
                  <c:v>7197</c:v>
                </c:pt>
                <c:pt idx="21">
                  <c:v>9454</c:v>
                </c:pt>
                <c:pt idx="22">
                  <c:v>4584</c:v>
                </c:pt>
                <c:pt idx="23">
                  <c:v>17561</c:v>
                </c:pt>
                <c:pt idx="24">
                  <c:v>33646</c:v>
                </c:pt>
                <c:pt idx="25">
                  <c:v>2602</c:v>
                </c:pt>
                <c:pt idx="26">
                  <c:v>29002</c:v>
                </c:pt>
                <c:pt idx="27">
                  <c:v>9493</c:v>
                </c:pt>
                <c:pt idx="28">
                  <c:v>19786</c:v>
                </c:pt>
                <c:pt idx="29">
                  <c:v>13924</c:v>
                </c:pt>
                <c:pt idx="30">
                  <c:v>20904</c:v>
                </c:pt>
                <c:pt idx="31">
                  <c:v>19191</c:v>
                </c:pt>
                <c:pt idx="32">
                  <c:v>17427</c:v>
                </c:pt>
                <c:pt idx="33">
                  <c:v>17083</c:v>
                </c:pt>
                <c:pt idx="34">
                  <c:v>12285</c:v>
                </c:pt>
                <c:pt idx="35">
                  <c:v>18620</c:v>
                </c:pt>
                <c:pt idx="36">
                  <c:v>19786</c:v>
                </c:pt>
                <c:pt idx="37">
                  <c:v>67395</c:v>
                </c:pt>
                <c:pt idx="38">
                  <c:v>18371</c:v>
                </c:pt>
                <c:pt idx="39">
                  <c:v>12862</c:v>
                </c:pt>
                <c:pt idx="40">
                  <c:v>18105</c:v>
                </c:pt>
                <c:pt idx="41">
                  <c:v>31839</c:v>
                </c:pt>
                <c:pt idx="42">
                  <c:v>6245</c:v>
                </c:pt>
                <c:pt idx="43">
                  <c:v>2153</c:v>
                </c:pt>
                <c:pt idx="44">
                  <c:v>37867</c:v>
                </c:pt>
                <c:pt idx="45">
                  <c:v>58478</c:v>
                </c:pt>
                <c:pt idx="46">
                  <c:v>17251</c:v>
                </c:pt>
                <c:pt idx="47">
                  <c:v>9165</c:v>
                </c:pt>
                <c:pt idx="48">
                  <c:v>18452</c:v>
                </c:pt>
                <c:pt idx="49">
                  <c:v>21075</c:v>
                </c:pt>
                <c:pt idx="50">
                  <c:v>21739</c:v>
                </c:pt>
                <c:pt idx="51">
                  <c:v>60601</c:v>
                </c:pt>
                <c:pt idx="52">
                  <c:v>20508</c:v>
                </c:pt>
                <c:pt idx="53">
                  <c:v>20918</c:v>
                </c:pt>
                <c:pt idx="54">
                  <c:v>19368</c:v>
                </c:pt>
                <c:pt idx="55">
                  <c:v>19803</c:v>
                </c:pt>
                <c:pt idx="56">
                  <c:v>20111</c:v>
                </c:pt>
                <c:pt idx="57">
                  <c:v>3900</c:v>
                </c:pt>
                <c:pt idx="58">
                  <c:v>57631</c:v>
                </c:pt>
                <c:pt idx="59">
                  <c:v>17537</c:v>
                </c:pt>
                <c:pt idx="60">
                  <c:v>17712</c:v>
                </c:pt>
                <c:pt idx="61">
                  <c:v>45093</c:v>
                </c:pt>
                <c:pt idx="62">
                  <c:v>13329</c:v>
                </c:pt>
                <c:pt idx="63">
                  <c:v>49779</c:v>
                </c:pt>
                <c:pt idx="64">
                  <c:v>34980</c:v>
                </c:pt>
                <c:pt idx="65">
                  <c:v>39850</c:v>
                </c:pt>
                <c:pt idx="66">
                  <c:v>46423</c:v>
                </c:pt>
                <c:pt idx="67">
                  <c:v>17647</c:v>
                </c:pt>
                <c:pt idx="68">
                  <c:v>53540</c:v>
                </c:pt>
                <c:pt idx="69">
                  <c:v>40292</c:v>
                </c:pt>
                <c:pt idx="70">
                  <c:v>35850</c:v>
                </c:pt>
                <c:pt idx="71">
                  <c:v>20321</c:v>
                </c:pt>
                <c:pt idx="72">
                  <c:v>20690</c:v>
                </c:pt>
                <c:pt idx="73">
                  <c:v>20255</c:v>
                </c:pt>
                <c:pt idx="74">
                  <c:v>69473</c:v>
                </c:pt>
                <c:pt idx="75">
                  <c:v>20098</c:v>
                </c:pt>
                <c:pt idx="76">
                  <c:v>21043</c:v>
                </c:pt>
                <c:pt idx="77">
                  <c:v>19478</c:v>
                </c:pt>
                <c:pt idx="78">
                  <c:v>20577</c:v>
                </c:pt>
                <c:pt idx="79">
                  <c:v>20037</c:v>
                </c:pt>
                <c:pt idx="80">
                  <c:v>12913</c:v>
                </c:pt>
                <c:pt idx="81">
                  <c:v>13848</c:v>
                </c:pt>
                <c:pt idx="82">
                  <c:v>56318</c:v>
                </c:pt>
                <c:pt idx="83">
                  <c:v>46860</c:v>
                </c:pt>
                <c:pt idx="84">
                  <c:v>17771</c:v>
                </c:pt>
                <c:pt idx="85">
                  <c:v>61425</c:v>
                </c:pt>
                <c:pt idx="86">
                  <c:v>60429</c:v>
                </c:pt>
                <c:pt idx="87">
                  <c:v>25842</c:v>
                </c:pt>
                <c:pt idx="88">
                  <c:v>17124</c:v>
                </c:pt>
                <c:pt idx="89">
                  <c:v>11094</c:v>
                </c:pt>
                <c:pt idx="90">
                  <c:v>62228</c:v>
                </c:pt>
                <c:pt idx="91">
                  <c:v>14384</c:v>
                </c:pt>
                <c:pt idx="92">
                  <c:v>18421</c:v>
                </c:pt>
                <c:pt idx="93">
                  <c:v>17938</c:v>
                </c:pt>
                <c:pt idx="94">
                  <c:v>17608</c:v>
                </c:pt>
                <c:pt idx="95">
                  <c:v>20003</c:v>
                </c:pt>
                <c:pt idx="96">
                  <c:v>16775</c:v>
                </c:pt>
                <c:pt idx="97">
                  <c:v>18068</c:v>
                </c:pt>
                <c:pt idx="98">
                  <c:v>18036</c:v>
                </c:pt>
                <c:pt idx="99">
                  <c:v>16696</c:v>
                </c:pt>
                <c:pt idx="100">
                  <c:v>17213</c:v>
                </c:pt>
                <c:pt idx="101">
                  <c:v>17339</c:v>
                </c:pt>
                <c:pt idx="102">
                  <c:v>17074</c:v>
                </c:pt>
                <c:pt idx="103">
                  <c:v>13893</c:v>
                </c:pt>
                <c:pt idx="104">
                  <c:v>19550</c:v>
                </c:pt>
                <c:pt idx="105">
                  <c:v>17950</c:v>
                </c:pt>
                <c:pt idx="106">
                  <c:v>19291</c:v>
                </c:pt>
                <c:pt idx="107">
                  <c:v>17499</c:v>
                </c:pt>
                <c:pt idx="108">
                  <c:v>9476</c:v>
                </c:pt>
                <c:pt idx="109">
                  <c:v>14495</c:v>
                </c:pt>
                <c:pt idx="110">
                  <c:v>20358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51F-4C6B-A08C-DA7B7C480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4015408"/>
        <c:axId val="704007248"/>
      </c:lineChart>
      <c:catAx>
        <c:axId val="70401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04007248"/>
        <c:crosses val="autoZero"/>
        <c:auto val="1"/>
        <c:lblAlgn val="ctr"/>
        <c:lblOffset val="100"/>
        <c:noMultiLvlLbl val="0"/>
      </c:catAx>
      <c:valAx>
        <c:axId val="70400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04015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Gols!$H$3:$H$7</c:f>
              <c:strCache>
                <c:ptCount val="5"/>
                <c:pt idx="0">
                  <c:v>Vegetti</c:v>
                </c:pt>
                <c:pt idx="1">
                  <c:v>Nenê</c:v>
                </c:pt>
                <c:pt idx="2">
                  <c:v>Pikachu</c:v>
                </c:pt>
                <c:pt idx="3">
                  <c:v>Gabriel Pec</c:v>
                </c:pt>
                <c:pt idx="4">
                  <c:v>Dimitri Payet</c:v>
                </c:pt>
              </c:strCache>
            </c:strRef>
          </c:cat>
          <c:val>
            <c:numRef>
              <c:f>Gols!$I$3:$I$7</c:f>
              <c:numCache>
                <c:formatCode>General</c:formatCode>
                <c:ptCount val="5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A0-47EC-BBC4-295F1B083B1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852719328"/>
        <c:axId val="1852716928"/>
      </c:barChart>
      <c:catAx>
        <c:axId val="18527193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2716928"/>
        <c:crosses val="autoZero"/>
        <c:auto val="1"/>
        <c:lblAlgn val="ctr"/>
        <c:lblOffset val="100"/>
        <c:noMultiLvlLbl val="0"/>
      </c:catAx>
      <c:valAx>
        <c:axId val="1852716928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852719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542925</xdr:colOff>
      <xdr:row>0</xdr:row>
      <xdr:rowOff>76200</xdr:rowOff>
    </xdr:from>
    <xdr:to>
      <xdr:col>21</xdr:col>
      <xdr:colOff>104775</xdr:colOff>
      <xdr:row>14</xdr:row>
      <xdr:rowOff>23811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878F8FB-7B33-4FFF-A37D-360AF7C118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1171575</xdr:colOff>
      <xdr:row>2</xdr:row>
      <xdr:rowOff>66675</xdr:rowOff>
    </xdr:from>
    <xdr:to>
      <xdr:col>17</xdr:col>
      <xdr:colOff>190500</xdr:colOff>
      <xdr:row>16</xdr:row>
      <xdr:rowOff>142875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B9E0F34-0388-0927-B54E-18378D5A48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EZO/Finan&#231;as%20Pessoais/2023.2/Finan&#231;asGabriel2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ceitas"/>
      <sheetName val="Despesas"/>
      <sheetName val="Ranking"/>
      <sheetName val="Transações Crédito"/>
      <sheetName val="CAIXA 2"/>
      <sheetName val="REL CREDITO "/>
      <sheetName val="Planilha1"/>
      <sheetName val="CADASTRO"/>
      <sheetName val="FinançasGabriel2.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guel Weber Pereira" refreshedDate="45756.924251504628" createdVersion="8" refreshedVersion="6" minRefreshableVersion="3" recordCount="106" xr:uid="{65587E26-ABD6-43B4-902F-B4B02A6779B1}">
  <cacheSource type="worksheet">
    <worksheetSource ref="A1:J112" sheet="BaseJogos"/>
  </cacheSource>
  <cacheFields count="10">
    <cacheField name="JOGO" numFmtId="0">
      <sharedItems count="55">
        <s v="Vasco x Nautico"/>
        <s v="Vasco x Sport"/>
        <s v="Vasco x Cruzeiro"/>
        <s v="Vasco x Flamengo"/>
        <s v="Vasco x Athletico PR"/>
        <s v="Vasco x Santos"/>
        <s v="Vasco x Ceara"/>
        <s v="Vasco x Fluminense"/>
        <s v="Vasco x Portuguesa"/>
        <s v="Vasco x Macae"/>
        <s v="Vasco x Bahia"/>
        <s v="Vasco x Atletico GO"/>
        <s v="Vasco x Botafogo"/>
        <s v="Vasco x Volta Redonda"/>
        <s v="Vasco x Atletico MG"/>
        <s v="Vasco x Parana"/>
        <s v="Vasco x Bangu"/>
        <s v="Vasco x Avai "/>
        <s v="Vasco x Sao Paulo"/>
        <s v="Vasco x Fortaleza"/>
        <s v="Vasco x Goias "/>
        <s v="Vasco x Chapecoense"/>
        <s v="Vasco x Oriente Petroleiro"/>
        <s v="Vasco x ABC"/>
        <s v="Vasco x Coritiba"/>
        <s v="Vasco x Madureira"/>
        <s v="Vasco x Vila Nova"/>
        <s v="Vasco x Ponte Preta"/>
        <s v="Vasco x Brusque"/>
        <s v="Vasco x Grêmio"/>
        <s v="Vasco x Opérario"/>
        <s v="Vasco x Ituano"/>
        <s v="Vasco x Guarani"/>
        <s v="Vasco x Londrina"/>
        <s v="Vasco x Sampaio Correa"/>
        <s v="Vasco x Boavista"/>
        <s v="Vasco x Atletico Mineiro"/>
        <s v="Vasco x Goiás"/>
        <s v="Vasco x Palmeiras"/>
        <s v="Vasco x São Paulo"/>
        <s v="Vasco x Internacional"/>
        <s v="Vasco x América MG"/>
        <s v="Vasco x Corinthians"/>
        <s v="Vasco x Bragantino"/>
        <s v="Vasco x Agua Santa"/>
        <s v="Vasco x Nova Iguaçu"/>
        <s v="Vasco x Criciuma"/>
        <s v="Vasco x Vitoria"/>
        <s v="Vasco x Juventude"/>
        <s v="Vasco x Cuiabá"/>
        <s v="Vasco x Atlético MG"/>
        <s v="Vasco x Marica"/>
        <s v="Vasco x Puerto Cabello"/>
        <s v="Vasco x Atletico PR" u="1"/>
        <s v="Vasco x  ABC" u="1"/>
      </sharedItems>
    </cacheField>
    <cacheField name="Competição" numFmtId="0">
      <sharedItems/>
    </cacheField>
    <cacheField name="DIA" numFmtId="14">
      <sharedItems containsSemiMixedTypes="0" containsNonDate="0" containsDate="1" containsString="0" minDate="2008-06-14T00:00:00" maxDate="2025-04-09T00:00:00"/>
    </cacheField>
    <cacheField name="ESTADIO" numFmtId="0">
      <sharedItems/>
    </cacheField>
    <cacheField name="PLACAR" numFmtId="2">
      <sharedItems/>
    </cacheField>
    <cacheField name="Resultado" numFmtId="0">
      <sharedItems/>
    </cacheField>
    <cacheField name="GOLS V" numFmtId="0">
      <sharedItems/>
    </cacheField>
    <cacheField name="GOLS ADV" numFmtId="0">
      <sharedItems/>
    </cacheField>
    <cacheField name="PUBLICO" numFmtId="3">
      <sharedItems containsMixedTypes="1" containsNumber="1" containsInteger="1" minValue="2153" maxValue="69473"/>
    </cacheField>
    <cacheField name="MAND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">
  <r>
    <x v="0"/>
    <s v="Série A"/>
    <d v="2008-06-14T00:00:00"/>
    <s v="Arruda"/>
    <s v="1x1"/>
    <s v="Empate"/>
    <s v="Edmundo"/>
    <s v="Wellington"/>
    <n v="20655"/>
    <s v="Visitante"/>
  </r>
  <r>
    <x v="1"/>
    <s v="Série A"/>
    <d v="2012-07-08T00:00:00"/>
    <s v="Ilha do Retiro"/>
    <s v="2x0"/>
    <s v="Vitória"/>
    <s v="Juninho , Tenorio"/>
    <s v="Sem gol"/>
    <n v="15544"/>
    <s v="Visitante"/>
  </r>
  <r>
    <x v="2"/>
    <s v="Série A"/>
    <d v="2013-11-23T00:00:00"/>
    <s v="Maracana"/>
    <s v="2x1"/>
    <s v="Vitória"/>
    <s v="Thalles,Edimilson"/>
    <s v="Paulao"/>
    <n v="32988"/>
    <s v="Mandante"/>
  </r>
  <r>
    <x v="3"/>
    <s v="Carioca"/>
    <d v="2015-04-19T00:00:00"/>
    <s v="Maracana"/>
    <s v="1x0"/>
    <s v="Vitória"/>
    <s v="Gilberto"/>
    <s v="Sem gol"/>
    <n v="53124"/>
    <s v="Mandante"/>
  </r>
  <r>
    <x v="4"/>
    <s v="Série A"/>
    <d v="2015-09-13T00:00:00"/>
    <s v="Maracana"/>
    <s v="2x0"/>
    <s v="Vitória"/>
    <s v="Julio cesar,Nenê"/>
    <s v="Sem gol"/>
    <n v="10805"/>
    <s v="Mandante"/>
  </r>
  <r>
    <x v="5"/>
    <s v="Série A"/>
    <d v="2015-11-29T00:00:00"/>
    <s v="Sao januario"/>
    <s v="1x0"/>
    <s v="Vitória"/>
    <s v="Nenê"/>
    <s v="Sem gol"/>
    <n v="11618"/>
    <s v="Mandante"/>
  </r>
  <r>
    <x v="6"/>
    <s v="Série B"/>
    <d v="2016-11-26T00:00:00"/>
    <s v="Maracana"/>
    <s v="2x0"/>
    <s v="Vitória"/>
    <s v="Thalles, Thalles"/>
    <s v="Sem gol"/>
    <n v="56426"/>
    <s v="Mandante"/>
  </r>
  <r>
    <x v="7"/>
    <s v="Carioca"/>
    <d v="2017-01-29T00:00:00"/>
    <s v="Engenhao"/>
    <s v="0x3"/>
    <s v="Derrota"/>
    <s v="Sem gol"/>
    <s v="dourado,wellington,marcos junior"/>
    <n v="11711"/>
    <s v="Mandante"/>
  </r>
  <r>
    <x v="8"/>
    <s v="Carioca"/>
    <d v="2017-02-18T00:00:00"/>
    <s v="Sao januario"/>
    <s v="1x0"/>
    <s v="Vitória"/>
    <s v="Thalles"/>
    <s v="Sem gol"/>
    <n v="6485"/>
    <s v="Mandante"/>
  </r>
  <r>
    <x v="9"/>
    <s v="Carioca"/>
    <d v="2017-03-12T00:00:00"/>
    <s v="Engenhao"/>
    <s v="2x2"/>
    <s v="Empate"/>
    <s v="Nenê,Rodrigo"/>
    <s v="Hudson,Rafinha"/>
    <n v="6386"/>
    <s v="Mandante"/>
  </r>
  <r>
    <x v="7"/>
    <s v="Carioca"/>
    <d v="2017-04-22T00:00:00"/>
    <s v="Maracana"/>
    <s v="0x3"/>
    <s v="Derrota"/>
    <s v="Sem gol"/>
    <s v="Leo,wellington,Richarlisson"/>
    <n v="23564"/>
    <s v="Visitante"/>
  </r>
  <r>
    <x v="10"/>
    <s v="Série A"/>
    <d v="2017-05-21T00:00:00"/>
    <s v="Sao januario"/>
    <s v="2x1"/>
    <s v="Vitória"/>
    <s v="Pikachu,L.Fabiano"/>
    <s v="Gustavo"/>
    <n v="19030"/>
    <s v="Mandante"/>
  </r>
  <r>
    <x v="11"/>
    <s v="Série A"/>
    <d v="2017-06-25T00:00:00"/>
    <s v="Sao januario"/>
    <s v="1x0"/>
    <s v="Vitória"/>
    <s v="Nenê"/>
    <s v="Sem gol"/>
    <s v="20.658 "/>
    <s v="Mandante"/>
  </r>
  <r>
    <x v="7"/>
    <s v="Série A"/>
    <d v="2017-08-26T00:00:00"/>
    <s v="Maracana"/>
    <s v="1x0"/>
    <s v="Vitória"/>
    <s v="Ramon"/>
    <s v="Sem gol"/>
    <s v=" 23.460"/>
    <s v="Visitante"/>
  </r>
  <r>
    <x v="12"/>
    <s v="Série A"/>
    <d v="2017-10-14T00:00:00"/>
    <s v="Maracana"/>
    <s v="1x0"/>
    <s v="Vitória"/>
    <s v="Nenê"/>
    <s v="Sem gol"/>
    <n v="31406"/>
    <s v="Mandante"/>
  </r>
  <r>
    <x v="13"/>
    <s v="Carioca"/>
    <d v="2018-02-04T00:00:00"/>
    <s v="Sao januario"/>
    <s v="3x1"/>
    <s v="Vitória"/>
    <s v="Cosenday,galhardo,contra"/>
    <s v="Marcelo"/>
    <n v="2693"/>
    <s v="Mandante"/>
  </r>
  <r>
    <x v="7"/>
    <s v="Carioca"/>
    <d v="2018-03-07T00:00:00"/>
    <s v="Engenhao"/>
    <s v="0x0"/>
    <s v="Empate"/>
    <s v="Sem gol"/>
    <s v="Sem gol"/>
    <n v="6463"/>
    <s v="Mandante"/>
  </r>
  <r>
    <x v="7"/>
    <s v="Carioca"/>
    <d v="2018-03-29T00:00:00"/>
    <s v="Maracana"/>
    <s v="3x2"/>
    <s v="Vitória"/>
    <s v="G.Augusto,Paulinho,Fabricio"/>
    <s v="Pedro,Sornoza"/>
    <n v="21788"/>
    <s v="Visitante"/>
  </r>
  <r>
    <x v="12"/>
    <s v="Carioca"/>
    <d v="2018-04-01T00:00:00"/>
    <s v="Engenhao"/>
    <s v="3x2"/>
    <s v="Vitória"/>
    <s v="Pikachu,Pikachu,Rios"/>
    <s v="Brenner,Renatinho"/>
    <n v="19117"/>
    <s v="Visitante"/>
  </r>
  <r>
    <x v="12"/>
    <s v="Carioca"/>
    <d v="2018-04-08T00:00:00"/>
    <s v="Maracana"/>
    <s v="0x1"/>
    <s v="Derrota"/>
    <s v="Sem gol"/>
    <s v="Carli"/>
    <n v="64200"/>
    <s v="Mandante"/>
  </r>
  <r>
    <x v="14"/>
    <s v="Série A"/>
    <d v="2018-04-15T00:00:00"/>
    <s v="Sao januario"/>
    <s v="2x1"/>
    <s v="Vitória"/>
    <s v="Wagner,Pikachu"/>
    <s v="Otero"/>
    <n v="7197"/>
    <s v="Mandante"/>
  </r>
  <r>
    <x v="12"/>
    <s v="Série A"/>
    <d v="2018-06-02T00:00:00"/>
    <s v="Sao januario"/>
    <s v="1x2"/>
    <s v="Derrota"/>
    <s v="Andrey"/>
    <s v="Kieza,I.Rabello"/>
    <n v="9454"/>
    <s v="Mandante"/>
  </r>
  <r>
    <x v="15"/>
    <s v="Série A"/>
    <d v="2018-05-30T00:00:00"/>
    <s v="Sao januario"/>
    <s v="1x0"/>
    <s v="Vitória"/>
    <s v="Pikachu"/>
    <s v="Sem gol"/>
    <n v="4584"/>
    <s v="Mandante"/>
  </r>
  <r>
    <x v="10"/>
    <s v="Copa do Brasil"/>
    <d v="2018-07-16T00:00:00"/>
    <s v="Sao januario"/>
    <s v="2x0"/>
    <s v="Vitória"/>
    <s v="Andrey,Pikachu"/>
    <s v="Sem gol"/>
    <n v="17561"/>
    <s v="Mandante"/>
  </r>
  <r>
    <x v="5"/>
    <s v="Série A"/>
    <d v="2018-09-01T00:00:00"/>
    <s v="Maracana"/>
    <s v="0x3"/>
    <s v="Derrota"/>
    <s v="Sem gol"/>
    <s v="Gabigol,Gabigol,Gabigol"/>
    <n v="33646"/>
    <s v="Mandante"/>
  </r>
  <r>
    <x v="8"/>
    <s v="Carioca"/>
    <d v="2019-01-30T00:00:00"/>
    <s v="Moca Bonita"/>
    <s v="1x0"/>
    <s v="Vitória"/>
    <s v="Pikachu"/>
    <s v="Sem gol"/>
    <n v="2602"/>
    <s v="Mandante"/>
  </r>
  <r>
    <x v="7"/>
    <s v="Carioca"/>
    <d v="2019-02-17T00:00:00"/>
    <s v="Maracana"/>
    <s v="1x0"/>
    <s v="Vitória"/>
    <s v="Danilo Barcelos "/>
    <s v="Sem gol"/>
    <n v="29002"/>
    <s v="Mandante"/>
  </r>
  <r>
    <x v="16"/>
    <s v="Carioca"/>
    <d v="2019-03-23T00:00:00"/>
    <s v="Sao januario"/>
    <s v="1x2"/>
    <s v="Derrota"/>
    <s v="Tiago Reis"/>
    <s v="A.Lessa,Marcos JR"/>
    <n v="9493"/>
    <s v="Mandante"/>
  </r>
  <r>
    <x v="16"/>
    <s v="Carioca"/>
    <d v="2019-04-07T00:00:00"/>
    <s v="Maracana"/>
    <s v="2x1"/>
    <s v="Vitória"/>
    <s v="Bruno Cesar,Yan Sasse"/>
    <s v="Yaya Banhoro"/>
    <n v="19786"/>
    <s v="Mandante"/>
  </r>
  <r>
    <x v="17"/>
    <s v="Série A"/>
    <d v="2019-05-19T00:00:00"/>
    <s v="Sao januario"/>
    <s v="1x1"/>
    <s v="Vitória"/>
    <s v="Ricardo Graca"/>
    <s v="Daniel Amorin "/>
    <n v="13924"/>
    <s v="Mandante"/>
  </r>
  <r>
    <x v="7"/>
    <s v="Série A"/>
    <d v="2019-07-20T00:00:00"/>
    <s v="Sao januario"/>
    <s v="2x1"/>
    <s v="Vitória"/>
    <s v="Leandro Castam,Bruno Cesar"/>
    <s v="Pedro "/>
    <n v="20904"/>
    <s v="Mandante"/>
  </r>
  <r>
    <x v="18"/>
    <s v="Série A"/>
    <d v="2019-08-25T00:00:00"/>
    <s v="Sao januario"/>
    <s v="2x0"/>
    <s v="Vitória"/>
    <s v="Talles Magno,F.Bastos"/>
    <s v="Sem gol"/>
    <n v="19191"/>
    <s v="Mandante"/>
  </r>
  <r>
    <x v="4"/>
    <s v="Série A"/>
    <d v="2019-09-22T00:00:00"/>
    <s v="Sao januario"/>
    <s v="1x1"/>
    <s v="Empate"/>
    <s v="Danilo Barcelos "/>
    <s v="Madson"/>
    <n v="17427"/>
    <s v="Mandante"/>
  </r>
  <r>
    <x v="5"/>
    <s v="Série A"/>
    <d v="2019-10-05T00:00:00"/>
    <s v="Sao januario"/>
    <s v="0x1"/>
    <s v="Derrota"/>
    <s v="Sem gol"/>
    <s v="Tailson"/>
    <n v="17083"/>
    <s v="Mandante"/>
  </r>
  <r>
    <x v="19"/>
    <s v="Série A"/>
    <d v="2019-10-13T00:00:00"/>
    <s v="Sao januario"/>
    <s v="1x0"/>
    <s v="Vitória"/>
    <s v="Pikachu"/>
    <s v="Sem gol"/>
    <n v="12285"/>
    <s v="Mandante"/>
  </r>
  <r>
    <x v="20"/>
    <s v="Série A"/>
    <d v="2019-11-18T00:00:00"/>
    <s v="Sao januario"/>
    <s v="1x1"/>
    <s v="Empate"/>
    <s v="Guarin"/>
    <s v="Henriquez contra"/>
    <n v="18620"/>
    <s v="Mandante"/>
  </r>
  <r>
    <x v="2"/>
    <s v="Série A"/>
    <d v="2019-12-02T00:00:00"/>
    <s v="Sao januario"/>
    <s v="1x0"/>
    <s v="Vitória"/>
    <s v="Guarin"/>
    <s v="Sem gol"/>
    <n v="19786"/>
    <s v="Mandante"/>
  </r>
  <r>
    <x v="21"/>
    <s v="Série A"/>
    <d v="2019-12-08T00:00:00"/>
    <s v="Maracana"/>
    <s v="1x1"/>
    <s v=" Empate"/>
    <s v="Pikachu"/>
    <s v="Locatelli"/>
    <n v="67395"/>
    <s v="Mandante"/>
  </r>
  <r>
    <x v="16"/>
    <s v="Carioca"/>
    <d v="2020-01-19T00:00:00"/>
    <s v="Sao januario"/>
    <s v="0x0"/>
    <s v="Empate"/>
    <s v="Sem gol"/>
    <s v="Sem gol"/>
    <n v="18371"/>
    <s v="Mandante"/>
  </r>
  <r>
    <x v="12"/>
    <s v="Carioca"/>
    <d v="2020-02-02T00:00:00"/>
    <s v="Engenhao"/>
    <s v="0x1"/>
    <s v="Derrota"/>
    <s v="Sem gol"/>
    <s v="Ygor Cassio"/>
    <n v="12862"/>
    <s v="Visitante"/>
  </r>
  <r>
    <x v="22"/>
    <s v="Sulamericana"/>
    <d v="2020-02-06T00:00:00"/>
    <s v="Sao januario"/>
    <s v="1x0"/>
    <s v="Vitória"/>
    <s v="German Cano"/>
    <s v="Sem gol"/>
    <n v="18105"/>
    <s v="Mandante"/>
  </r>
  <r>
    <x v="23"/>
    <s v="Copa do Brasil"/>
    <d v="2020-03-05T00:00:00"/>
    <s v="Maracana"/>
    <s v="1x0"/>
    <s v="Vitória"/>
    <s v="German Cano"/>
    <s v="Sem gol"/>
    <n v="31839"/>
    <s v="Mandante"/>
  </r>
  <r>
    <x v="24"/>
    <s v="Série B"/>
    <d v="2021-10-06T00:00:00"/>
    <s v="Sao januario"/>
    <s v="2x1"/>
    <s v="Vitória"/>
    <s v="German Cano, Nenê "/>
    <s v="Léo Gamalho "/>
    <n v="6245"/>
    <s v="Mandante"/>
  </r>
  <r>
    <x v="25"/>
    <s v="Carioca"/>
    <d v="2022-02-06T00:00:00"/>
    <s v="Conselheiro Galvão"/>
    <s v="3x1"/>
    <s v="Vitória"/>
    <s v="Gabriel Pec,Getúlio,Getúlio"/>
    <s v="Pipico"/>
    <n v="2153"/>
    <s v="Visitante"/>
  </r>
  <r>
    <x v="3"/>
    <s v="Carioca"/>
    <d v="2022-03-16T00:00:00"/>
    <s v="Maracana"/>
    <s v="0x1"/>
    <s v="Derrota"/>
    <s v="Sem gol"/>
    <s v="Gabigol"/>
    <n v="37867"/>
    <s v="Mandante"/>
  </r>
  <r>
    <x v="3"/>
    <s v="Carioca"/>
    <d v="2022-03-22T00:00:00"/>
    <s v="Maracana"/>
    <s v="0x1"/>
    <s v="Derrota"/>
    <s v="Sem gol"/>
    <s v="William Arão"/>
    <n v="58478"/>
    <s v="Visitante"/>
  </r>
  <r>
    <x v="26"/>
    <s v="Série B"/>
    <d v="2022-04-08T00:00:00"/>
    <s v="Sao januario"/>
    <s v="1x1"/>
    <s v="Empate"/>
    <s v="Raniel"/>
    <s v="Arthur Rodrigues"/>
    <n v="17251"/>
    <s v="Mandante"/>
  </r>
  <r>
    <x v="27"/>
    <s v="Série B"/>
    <d v="2022-04-27T00:00:00"/>
    <s v="Sao januario"/>
    <s v="1x0"/>
    <s v="Vitória"/>
    <s v="Raniel"/>
    <s v="Sem gol"/>
    <n v="9165"/>
    <s v="Mandante"/>
  </r>
  <r>
    <x v="28"/>
    <s v="Série B"/>
    <d v="2022-05-26T00:00:00"/>
    <s v="Sao januario"/>
    <s v="2x0"/>
    <s v="Vitória"/>
    <s v="Nenê, Nenê"/>
    <s v="Sem gol"/>
    <n v="18452"/>
    <s v="Mandante"/>
  </r>
  <r>
    <x v="29"/>
    <s v="Série B"/>
    <d v="2022-06-02T00:00:00"/>
    <s v="Sao januario"/>
    <s v="0x0"/>
    <s v="Empate"/>
    <s v="Sem gol"/>
    <s v="Sem gol"/>
    <n v="21075"/>
    <s v="Mandante"/>
  </r>
  <r>
    <x v="30"/>
    <s v="Série B"/>
    <d v="2022-06-24T00:00:00"/>
    <s v="Sao januario"/>
    <s v="3x0"/>
    <s v="Vitória"/>
    <s v="Quintero, Nenê, Palacios"/>
    <s v="Sem gol"/>
    <n v="21739"/>
    <s v="Mandante"/>
  </r>
  <r>
    <x v="1"/>
    <s v="Série B"/>
    <d v="2022-07-03T00:00:00"/>
    <s v="Maracana"/>
    <s v="0x0"/>
    <s v="Empate"/>
    <s v="Sem gol"/>
    <s v="Sem gol"/>
    <n v="60601"/>
    <s v="Mandante"/>
  </r>
  <r>
    <x v="31"/>
    <s v="Série B"/>
    <d v="2022-07-21T00:00:00"/>
    <s v="Sao januario"/>
    <s v="1x1"/>
    <s v="Empate"/>
    <s v="Raniel"/>
    <s v="Rafael Elias"/>
    <n v="20508"/>
    <s v="Mandante"/>
  </r>
  <r>
    <x v="21"/>
    <s v="Série B"/>
    <d v="2022-07-31T00:00:00"/>
    <s v="Sao januario"/>
    <s v="0x0"/>
    <s v="Empate"/>
    <s v="Sem gol"/>
    <s v="Sem gol"/>
    <n v="20918"/>
    <s v="Mandante"/>
  </r>
  <r>
    <x v="32"/>
    <s v="Série B"/>
    <d v="2022-08-31T00:00:00"/>
    <s v="Sao januario"/>
    <s v="2x1"/>
    <s v="Vitória"/>
    <s v="Nenê, Eguinaldo"/>
    <s v="Anderson Conceicção"/>
    <n v="19368"/>
    <s v="Mandante"/>
  </r>
  <r>
    <x v="33"/>
    <s v="Série B"/>
    <d v="2022-09-20T00:00:00"/>
    <s v="Sao januario"/>
    <s v="1x1"/>
    <s v="Empate"/>
    <s v="Andrey Santos"/>
    <s v="Caprini"/>
    <n v="19803"/>
    <s v="Mandante"/>
  </r>
  <r>
    <x v="34"/>
    <s v="Série B"/>
    <d v="2022-10-27T00:00:00"/>
    <s v="Sao januario"/>
    <s v="2x3"/>
    <s v="Derrota"/>
    <s v="Anderson Conceição,Andrey Santos"/>
    <s v="Pará, Gabriel Povoeda,Joécio"/>
    <n v="20111"/>
    <s v="Mandante"/>
  </r>
  <r>
    <x v="8"/>
    <s v="Carioca"/>
    <d v="2023-01-25T00:00:00"/>
    <s v="Luso Brasileiro"/>
    <s v="2x0"/>
    <s v="Vitória"/>
    <s v="Nenê, Gabriel Pec"/>
    <s v="Sem gol"/>
    <n v="3900"/>
    <s v="Mandante"/>
  </r>
  <r>
    <x v="7"/>
    <s v="Carioca"/>
    <d v="2023-02-12T00:00:00"/>
    <s v="Maracana"/>
    <s v="0x2"/>
    <s v="Derrota"/>
    <s v="Sem gol"/>
    <s v="German Cano, German Cano"/>
    <n v="57631"/>
    <s v="Visitante"/>
  </r>
  <r>
    <x v="35"/>
    <s v="Carioca"/>
    <d v="2023-02-27T00:00:00"/>
    <s v="Sao januario"/>
    <s v="4x1"/>
    <s v="Vitória"/>
    <s v="Pedro Raul, Alex Texeira, Pumita, Pedro Raul"/>
    <s v="Di Maria"/>
    <n v="17537"/>
    <s v="Mandante"/>
  </r>
  <r>
    <x v="16"/>
    <s v="Carioca"/>
    <d v="2023-03-09T00:00:00"/>
    <s v="Sao januario"/>
    <s v="2x0"/>
    <s v="Vitória"/>
    <s v="Gabriel Pec, Pedro Raul"/>
    <s v="Sem gol"/>
    <n v="17712"/>
    <s v="Mandante"/>
  </r>
  <r>
    <x v="3"/>
    <s v="Carioca"/>
    <d v="2023-03-13T00:00:00"/>
    <s v="Maracana"/>
    <s v="2x3"/>
    <s v="Derrota"/>
    <s v="Gabriel Pec, Alex Texeira"/>
    <s v="Arrascaeta, Pedro, Fabricio Bruno"/>
    <n v="45093"/>
    <s v="Visitante"/>
  </r>
  <r>
    <x v="23"/>
    <s v="Copa do Brasil"/>
    <d v="2023-03-16T00:00:00"/>
    <s v="Sao januario"/>
    <s v="0x0"/>
    <s v="Empate"/>
    <s v="Sem gol"/>
    <s v="Sem gol"/>
    <n v="13329"/>
    <s v="Mandante"/>
  </r>
  <r>
    <x v="3"/>
    <s v="Carioca"/>
    <d v="2023-03-19T00:00:00"/>
    <s v="Maracana"/>
    <s v="1x3"/>
    <s v="Derrota"/>
    <s v="Capasso"/>
    <s v="Pedro, Pedro, Ayrton Lucas"/>
    <n v="49779"/>
    <s v="Mandante"/>
  </r>
  <r>
    <x v="36"/>
    <s v="Série A"/>
    <d v="2023-04-15T00:00:00"/>
    <s v="Mineirão"/>
    <s v="2x1"/>
    <s v="Vitória"/>
    <s v="Andrey, Gabriel Pec"/>
    <s v="Mauricio Lemos"/>
    <n v="34980"/>
    <s v="Visitante"/>
  </r>
  <r>
    <x v="7"/>
    <s v="Série A"/>
    <d v="2023-05-06T00:00:00"/>
    <s v="Maracana"/>
    <s v="1x1"/>
    <s v="Empate"/>
    <s v="Pedro Raul"/>
    <s v="Lima"/>
    <n v="39850"/>
    <s v="Visitante"/>
  </r>
  <r>
    <x v="3"/>
    <s v="Série A"/>
    <d v="2023-06-05T00:00:00"/>
    <s v="Maracana"/>
    <s v="1x4"/>
    <s v="Derrota"/>
    <s v="Jair"/>
    <s v="Pulgar,Gerson, Pedro, Ayrton Lucas"/>
    <n v="46423"/>
    <s v="Mandante"/>
  </r>
  <r>
    <x v="37"/>
    <s v="Série A"/>
    <d v="2023-06-22T00:00:00"/>
    <s v="Sao januario"/>
    <s v="0x1"/>
    <s v="Derrota"/>
    <s v="Sem gol"/>
    <s v="Everton Morelli"/>
    <n v="17647"/>
    <s v="Mandante"/>
  </r>
  <r>
    <x v="36"/>
    <s v="Série A"/>
    <d v="2023-08-20T00:00:00"/>
    <s v="Maracana"/>
    <s v="1x0"/>
    <s v="Vitória"/>
    <s v="Serginho"/>
    <s v="Sem gol"/>
    <n v="53540"/>
    <s v="Mandante"/>
  </r>
  <r>
    <x v="38"/>
    <s v="Série A"/>
    <d v="2023-08-27T00:00:00"/>
    <s v="Allianz Parque"/>
    <s v="0x1"/>
    <s v="Derrota"/>
    <s v="Sem gol"/>
    <s v="Raphael Veiga"/>
    <n v="40292"/>
    <s v="Visitante"/>
  </r>
  <r>
    <x v="7"/>
    <s v="Série A"/>
    <d v="2023-09-16T00:00:00"/>
    <s v="Engenhao"/>
    <s v="4x2"/>
    <s v="Vitória"/>
    <s v="Praxedes, Vegetti, Gabriel Pec, Gabriel Pec"/>
    <s v="Marcelo, Lima"/>
    <n v="35850"/>
    <s v="Mandante"/>
  </r>
  <r>
    <x v="24"/>
    <s v="Série A"/>
    <d v="2023-09-21T00:00:00"/>
    <s v="Sao januario"/>
    <s v="5x1"/>
    <s v="Vitória"/>
    <s v="Zé Gabriel, Rossi,Vegetti, Vegetti, Gabriel Pec"/>
    <s v="Sebastian Gomez"/>
    <n v="20321"/>
    <s v="Mandante"/>
  </r>
  <r>
    <x v="39"/>
    <s v="Série A"/>
    <d v="2023-10-07T00:00:00"/>
    <s v="Sao januario"/>
    <s v="0x0"/>
    <s v="Empate"/>
    <s v="Sem gol"/>
    <s v="Sem gol"/>
    <n v="20690"/>
    <s v="Mandante"/>
  </r>
  <r>
    <x v="19"/>
    <s v="Série A"/>
    <d v="2023-10-18T00:00:00"/>
    <s v="Sao januario"/>
    <s v="1x0"/>
    <s v="Vitória"/>
    <s v="Dimitri Payet"/>
    <s v="Sem gol"/>
    <n v="20255"/>
    <s v="Mandante"/>
  </r>
  <r>
    <x v="3"/>
    <s v="Série A"/>
    <d v="2023-10-22T00:00:00"/>
    <s v="Maracana"/>
    <s v="0x1"/>
    <s v="Derrota"/>
    <s v="Sem gol"/>
    <s v="Gerson"/>
    <n v="69473"/>
    <s v="Visitante"/>
  </r>
  <r>
    <x v="40"/>
    <s v="Série A"/>
    <d v="2023-10-26T00:00:00"/>
    <s v="Sao januario"/>
    <s v="1x2"/>
    <s v="Derrota"/>
    <s v="Alex Texeira"/>
    <s v="Mauricio, Enner Valencia"/>
    <n v="20098"/>
    <s v="Mandante"/>
  </r>
  <r>
    <x v="12"/>
    <s v="Série A"/>
    <d v="2023-11-06T00:00:00"/>
    <s v="Sao januario"/>
    <s v="1x0"/>
    <s v="Vitória"/>
    <s v="Paulo Henrique"/>
    <s v="Sem gol"/>
    <n v="21043"/>
    <s v="Mandante"/>
  </r>
  <r>
    <x v="41"/>
    <s v="Série A"/>
    <d v="2023-11-12T00:00:00"/>
    <s v="Sao januario"/>
    <s v="2x1"/>
    <s v="Vitória"/>
    <s v="Vegetti, Dimitri Payet"/>
    <s v="Mastriani"/>
    <n v="19478"/>
    <s v="Mandante"/>
  </r>
  <r>
    <x v="42"/>
    <s v="Série A"/>
    <d v="2023-11-28T00:00:00"/>
    <s v="Sao januario"/>
    <s v="2X4"/>
    <s v="Derrota"/>
    <s v="Pumita, Vegetti"/>
    <s v="Romero, Romero, Moscarado, Giovane"/>
    <n v="20577"/>
    <s v="Mandante"/>
  </r>
  <r>
    <x v="43"/>
    <s v="Série A"/>
    <d v="2023-12-06T00:00:00"/>
    <s v="Sao januario"/>
    <s v="2x1"/>
    <s v="Vitória"/>
    <s v="Paulinho Paula, Serginho"/>
    <s v="Léo Ortiz"/>
    <n v="20037"/>
    <s v="Mandante"/>
  </r>
  <r>
    <x v="35"/>
    <s v="Carioca"/>
    <d v="2024-01-11T00:00:00"/>
    <s v="Sao januario"/>
    <s v="2x0"/>
    <s v="Vitória"/>
    <s v="Capasso, Leandrinho"/>
    <s v="Sem gol"/>
    <n v="12913"/>
    <s v="Mandante"/>
  </r>
  <r>
    <x v="25"/>
    <s v="Carioca"/>
    <d v="2024-01-18T00:00:00"/>
    <s v="Sao januario"/>
    <s v="2x0"/>
    <s v="Vitória"/>
    <s v="Léo Pelé, Rayan"/>
    <s v="Sem gol"/>
    <n v="13848"/>
    <s v="Mandante"/>
  </r>
  <r>
    <x v="3"/>
    <s v="Carioca"/>
    <d v="2024-02-04T00:00:00"/>
    <s v="Maracana"/>
    <s v="0x0"/>
    <s v="Empate"/>
    <s v="Sem gol"/>
    <s v="Sem gol"/>
    <n v="56318"/>
    <s v="Mandante"/>
  </r>
  <r>
    <x v="7"/>
    <s v="Carioca"/>
    <d v="2024-02-17T00:00:00"/>
    <s v="Maracana"/>
    <s v="0x0"/>
    <s v="Empate"/>
    <s v="Sem gol"/>
    <s v="Sem gol"/>
    <n v="46860"/>
    <s v="Mandante"/>
  </r>
  <r>
    <x v="44"/>
    <s v="Copa do Brasil"/>
    <d v="2024-03-07T00:00:00"/>
    <s v="Sao januario"/>
    <s v="3x3"/>
    <s v="Empate"/>
    <s v="Galdames, Vegetti, Lucas Piton"/>
    <s v="Neilton, Andre Robles, Luan dias"/>
    <n v="17771"/>
    <s v="Mandante"/>
  </r>
  <r>
    <x v="45"/>
    <s v="Carioca"/>
    <d v="2024-03-10T00:00:00"/>
    <s v="Maracana"/>
    <s v="1x1"/>
    <s v="Empate"/>
    <s v="Lucas Piton"/>
    <s v="Xandinho"/>
    <n v="61425"/>
    <s v="Mandante"/>
  </r>
  <r>
    <x v="45"/>
    <s v="Carioca"/>
    <d v="2024-03-17T00:00:00"/>
    <s v="Maracana"/>
    <s v="0x2"/>
    <s v="Derrota"/>
    <s v="Sem gol"/>
    <s v="Bill"/>
    <n v="60429"/>
    <s v="Visitante"/>
  </r>
  <r>
    <x v="7"/>
    <s v="Série A"/>
    <d v="2024-04-20T00:00:00"/>
    <s v="Maracana"/>
    <s v="1x2"/>
    <s v="Derrota"/>
    <s v="Vegetti"/>
    <s v="Ganso, Martinelli"/>
    <n v="25842"/>
    <s v="Visitante"/>
  </r>
  <r>
    <x v="46"/>
    <s v="Série A"/>
    <d v="2024-04-27T00:00:00"/>
    <s v="Sao januario"/>
    <s v="0X4"/>
    <s v="Derrota"/>
    <s v="Sem gol"/>
    <s v="Fellipe Matheus, Fellipe Matheus, Yannick Bolaise, Higor Meritao"/>
    <n v="17124"/>
    <s v="Mandante"/>
  </r>
  <r>
    <x v="47"/>
    <s v="Série A"/>
    <d v="2024-05-12T00:00:00"/>
    <s v="Sao januario"/>
    <s v="2x1"/>
    <s v="Vitória"/>
    <s v="Maicom, Vegetti"/>
    <s v="Iury Castilho"/>
    <n v="11094"/>
    <s v="Mandante"/>
  </r>
  <r>
    <x v="3"/>
    <s v="Série A"/>
    <d v="2024-06-02T00:00:00"/>
    <s v="Maracana"/>
    <s v="1X6"/>
    <s v="Derrota"/>
    <s v="Vegetti"/>
    <s v="Everton, Pedro, David Luiz, Arrascaeta, Bruno Henrique, Gabigol"/>
    <n v="62228"/>
    <s v="Mandante"/>
  </r>
  <r>
    <x v="19"/>
    <s v="Série A"/>
    <d v="2024-07-03T00:00:00"/>
    <s v="Sao januario"/>
    <s v="2x0"/>
    <s v="Vitória"/>
    <s v="Matheus Cocao, Vegetti"/>
    <s v="Sem gol"/>
    <n v="14384"/>
    <s v="Mandante"/>
  </r>
  <r>
    <x v="42"/>
    <s v="Série A"/>
    <d v="2024-07-10T00:00:00"/>
    <s v="Sao januario"/>
    <s v="2x0"/>
    <s v="Vitória"/>
    <s v="Lucas Piton, Sforza"/>
    <s v="Sem gol"/>
    <n v="18421"/>
    <s v="Mandante"/>
  </r>
  <r>
    <x v="43"/>
    <s v="Série A"/>
    <d v="2024-08-03T00:00:00"/>
    <s v="Sao januario"/>
    <s v="2x2"/>
    <s v="Empate"/>
    <s v="GB, Adson"/>
    <s v="Jhon Jhon, Helinho"/>
    <n v="17938"/>
    <s v="Mandante"/>
  </r>
  <r>
    <x v="11"/>
    <s v="Copa do Brasil"/>
    <d v="2024-08-06T00:00:00"/>
    <s v="Sao januario"/>
    <s v="1x0"/>
    <s v="Vitória"/>
    <s v="Lucas Piton"/>
    <s v="Sem gol"/>
    <n v="17608"/>
    <s v="Mandante"/>
  </r>
  <r>
    <x v="7"/>
    <s v="Série A"/>
    <d v="2024-08-10T00:00:00"/>
    <s v="Engenhao"/>
    <s v="2x0"/>
    <s v="Vitória"/>
    <s v="Vegetti, Vitor Luis"/>
    <s v="Sem gol"/>
    <n v="20003"/>
    <s v="Mandante"/>
  </r>
  <r>
    <x v="4"/>
    <s v="Série A"/>
    <d v="2024-08-26T00:00:00"/>
    <s v="Sao januario"/>
    <s v="2x1"/>
    <s v="Vitória"/>
    <s v="Emerson Rodriguez, Vegetti"/>
    <s v="Gabriel Girotto"/>
    <n v="16775"/>
    <s v="Mandante"/>
  </r>
  <r>
    <x v="4"/>
    <s v="Copa do Brasil"/>
    <d v="2024-08-29T00:00:00"/>
    <s v="Sao januario"/>
    <s v="2x1"/>
    <s v="Vitória"/>
    <s v="Pumita, Hugo Moura"/>
    <s v="Cristhian"/>
    <n v="18068"/>
    <s v="Mandante"/>
  </r>
  <r>
    <x v="48"/>
    <s v="Série A"/>
    <d v="2024-10-05T00:00:00"/>
    <s v="Sao januario"/>
    <s v="1x1"/>
    <s v="Empate"/>
    <s v="Dimitri Payet"/>
    <s v="Erick Carioca"/>
    <n v="18036"/>
    <s v="Mandante"/>
  </r>
  <r>
    <x v="49"/>
    <s v="Série A"/>
    <d v="2024-10-24T00:00:00"/>
    <s v="Sao januario"/>
    <s v="1x0"/>
    <s v="Vitória"/>
    <s v="Hugo Moura"/>
    <s v="Sem gol"/>
    <n v="16696"/>
    <s v="Mandante"/>
  </r>
  <r>
    <x v="10"/>
    <s v="Série A"/>
    <d v="2024-10-28T00:00:00"/>
    <s v="Sao januario"/>
    <s v="3x2"/>
    <s v="Vitória"/>
    <s v="Emerson Rodriguez, Dimitri Payet, Dimitri Payet"/>
    <s v="Luciano Rodriguez, Ademir"/>
    <n v="17213"/>
    <s v="Mandante"/>
  </r>
  <r>
    <x v="40"/>
    <s v="Série A"/>
    <d v="2024-11-21T00:00:00"/>
    <s v="Sao januario"/>
    <s v="0x1"/>
    <s v="Derrota"/>
    <s v="Sem gol"/>
    <s v="Wesley"/>
    <n v="17339"/>
    <s v="Mandante"/>
  </r>
  <r>
    <x v="50"/>
    <s v="Série A"/>
    <d v="2024-12-04T00:00:00"/>
    <s v="Sao januario"/>
    <s v="2x0"/>
    <s v="Vitória"/>
    <s v="Vegetti, Philipe Coutinho"/>
    <s v="Sem gol"/>
    <n v="17074"/>
    <s v="Mandante"/>
  </r>
  <r>
    <x v="51"/>
    <s v="Carioca"/>
    <d v="2025-01-30T00:00:00"/>
    <s v="Sao januario"/>
    <s v="1x0"/>
    <s v="Vitória"/>
    <s v="Paulo Henrique"/>
    <s v="Sem gol"/>
    <n v="13893"/>
    <s v="Visitante"/>
  </r>
  <r>
    <x v="5"/>
    <s v="Série A"/>
    <d v="2025-03-30T00:00:00"/>
    <s v="Sao januario"/>
    <s v="2x1"/>
    <s v="Vitória"/>
    <s v="Nuno Moreira, Vegetti"/>
    <s v="Barreal"/>
    <n v="19550"/>
    <s v="Mandante"/>
  </r>
  <r>
    <x v="52"/>
    <s v="Sulamericana"/>
    <d v="2025-04-08T00:00:00"/>
    <s v="Sao januario"/>
    <s v="1x0"/>
    <s v="Vitória"/>
    <s v="Vegetti"/>
    <s v="Sem gol"/>
    <n v="17950"/>
    <s v="Mandan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52ADBD-CDCB-473C-B2A3-0C9C555AD836}" name="Tabela dinâ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3">
  <location ref="A3:B57" firstHeaderRow="1" firstDataRow="1" firstDataCol="1"/>
  <pivotFields count="10">
    <pivotField axis="axisRow" dataField="1" showAll="0" sortType="descending">
      <items count="56">
        <item m="1" x="54"/>
        <item x="11"/>
        <item x="14"/>
        <item m="1" x="53"/>
        <item x="17"/>
        <item x="10"/>
        <item x="16"/>
        <item x="12"/>
        <item x="28"/>
        <item x="6"/>
        <item x="21"/>
        <item x="24"/>
        <item x="2"/>
        <item x="3"/>
        <item x="7"/>
        <item x="19"/>
        <item x="20"/>
        <item x="29"/>
        <item x="32"/>
        <item x="31"/>
        <item x="33"/>
        <item x="9"/>
        <item x="25"/>
        <item x="0"/>
        <item x="30"/>
        <item x="22"/>
        <item x="15"/>
        <item x="27"/>
        <item x="8"/>
        <item x="34"/>
        <item x="5"/>
        <item x="18"/>
        <item x="1"/>
        <item x="26"/>
        <item x="13"/>
        <item x="23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54">
    <i>
      <x v="14"/>
    </i>
    <i>
      <x v="13"/>
    </i>
    <i>
      <x v="7"/>
    </i>
    <i>
      <x v="49"/>
    </i>
    <i>
      <x v="30"/>
    </i>
    <i>
      <x v="6"/>
    </i>
    <i>
      <x v="5"/>
    </i>
    <i>
      <x v="15"/>
    </i>
    <i>
      <x v="28"/>
    </i>
    <i>
      <x v="37"/>
    </i>
    <i>
      <x v="46"/>
    </i>
    <i>
      <x v="43"/>
    </i>
    <i>
      <x v="12"/>
    </i>
    <i>
      <x v="36"/>
    </i>
    <i>
      <x v="22"/>
    </i>
    <i>
      <x v="41"/>
    </i>
    <i>
      <x v="1"/>
    </i>
    <i>
      <x v="44"/>
    </i>
    <i>
      <x v="11"/>
    </i>
    <i>
      <x v="10"/>
    </i>
    <i>
      <x v="35"/>
    </i>
    <i>
      <x v="32"/>
    </i>
    <i>
      <x v="24"/>
    </i>
    <i>
      <x v="47"/>
    </i>
    <i>
      <x v="20"/>
    </i>
    <i>
      <x v="25"/>
    </i>
    <i>
      <x v="51"/>
    </i>
    <i>
      <x v="26"/>
    </i>
    <i>
      <x v="19"/>
    </i>
    <i>
      <x v="27"/>
    </i>
    <i>
      <x v="45"/>
    </i>
    <i>
      <x v="2"/>
    </i>
    <i>
      <x v="23"/>
    </i>
    <i>
      <x v="29"/>
    </i>
    <i>
      <x v="53"/>
    </i>
    <i>
      <x v="9"/>
    </i>
    <i>
      <x v="40"/>
    </i>
    <i>
      <x v="31"/>
    </i>
    <i>
      <x v="42"/>
    </i>
    <i>
      <x v="8"/>
    </i>
    <i>
      <x v="21"/>
    </i>
    <i>
      <x v="33"/>
    </i>
    <i>
      <x v="4"/>
    </i>
    <i>
      <x v="34"/>
    </i>
    <i>
      <x v="48"/>
    </i>
    <i>
      <x v="16"/>
    </i>
    <i>
      <x v="50"/>
    </i>
    <i>
      <x v="17"/>
    </i>
    <i>
      <x v="52"/>
    </i>
    <i>
      <x v="18"/>
    </i>
    <i>
      <x v="54"/>
    </i>
    <i>
      <x v="38"/>
    </i>
    <i>
      <x v="39"/>
    </i>
    <i t="grand">
      <x/>
    </i>
  </rowItems>
  <colItems count="1">
    <i/>
  </colItems>
  <dataFields count="1">
    <dataField name="Contagem de JOGO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J112" totalsRowShown="0" headerRowDxfId="16" dataDxfId="15" headerRowBorderDxfId="13" tableBorderDxfId="14">
  <autoFilter ref="A1:J112" xr:uid="{00000000-000C-0000-FFFF-FFFF00000000}"/>
  <tableColumns count="10">
    <tableColumn id="1" xr3:uid="{00000000-0010-0000-0000-000001000000}" name="JOGO" dataDxfId="12"/>
    <tableColumn id="8" xr3:uid="{00000000-0010-0000-0000-000008000000}" name="Competição" dataDxfId="11"/>
    <tableColumn id="2" xr3:uid="{00000000-0010-0000-0000-000002000000}" name="DIA" dataDxfId="10"/>
    <tableColumn id="3" xr3:uid="{00000000-0010-0000-0000-000003000000}" name="ESTADIO" dataDxfId="9"/>
    <tableColumn id="4" xr3:uid="{00000000-0010-0000-0000-000004000000}" name="PLACAR" dataDxfId="8"/>
    <tableColumn id="9" xr3:uid="{00000000-0010-0000-0000-000009000000}" name="Resultado" dataDxfId="7"/>
    <tableColumn id="5" xr3:uid="{00000000-0010-0000-0000-000005000000}" name="GOLS V" dataDxfId="6"/>
    <tableColumn id="6" xr3:uid="{00000000-0010-0000-0000-000006000000}" name="GOLS ADV" dataDxfId="5"/>
    <tableColumn id="7" xr3:uid="{00000000-0010-0000-0000-000007000000}" name="PUBLICO" dataDxfId="4"/>
    <tableColumn id="11" xr3:uid="{00000000-0010-0000-0000-00000B000000}" name="MANDO" dataDxfId="3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BA086E8-C1DA-4D40-B083-96405D683F05}" name="GolsJogadores6" displayName="GolsJogadores6" ref="B1:C186" totalsRowShown="0">
  <autoFilter ref="B1:C186" xr:uid="{2BA086E8-C1DA-4D40-B083-96405D683F05}"/>
  <sortState ref="B2:C186">
    <sortCondition descending="1" ref="C1:C186"/>
  </sortState>
  <tableColumns count="2">
    <tableColumn id="1" xr3:uid="{23BE7DB2-C7F0-4F25-9A53-75FAA5819E3C}" name="Nome" dataDxfId="46"/>
    <tableColumn id="2" xr3:uid="{10461036-3BCE-407A-8E55-870789875F2E}" name="Gols" dataDxfId="45">
      <calculatedColumnFormula>COUNTIF(GConsol8[[Comp]:[g4]],GolsJogadores6[[#This Row],[Nome]])</calculatedColumnFormula>
    </tableColumn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D1C5943-05F1-4879-B9D1-DCB8FF6B3B0C}" name="GConsol8" displayName="GConsol8" ref="F1:M74" totalsRowShown="0">
  <autoFilter ref="F1:M74" xr:uid="{7CA3B360-9B56-4D5F-B429-E1326504181F}"/>
  <tableColumns count="8">
    <tableColumn id="1" xr3:uid="{3CA86B23-5AFE-4438-BEB3-86D696D1C792}" name="Nome"/>
    <tableColumn id="2" xr3:uid="{261FF841-4344-47DC-AA65-B21E523706F5}" name="Gols"/>
    <tableColumn id="3" xr3:uid="{A43A1BF9-F839-499F-9A2B-E84996CC21EC}" name="Comp" dataDxfId="44"/>
    <tableColumn id="4" xr3:uid="{02055E53-944D-415D-9BD3-5BA4E4DD630B}" name="Estad" dataDxfId="43"/>
    <tableColumn id="5" xr3:uid="{ED3FC97D-B360-4DA2-87F5-EAEE62F50DEE}" name="g1" dataDxfId="42"/>
    <tableColumn id="6" xr3:uid="{C60D8FE1-5A64-4D55-9E93-419EE6823F38}" name="g2"/>
    <tableColumn id="7" xr3:uid="{0B0FD82E-6472-4223-9467-544704D2DB54}" name="g3"/>
    <tableColumn id="8" xr3:uid="{A291682F-D83A-476A-9A1D-CAB879C91C01}" name="g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2"/>
  <sheetViews>
    <sheetView showGridLines="0" tabSelected="1" zoomScaleNormal="100" workbookViewId="0"/>
  </sheetViews>
  <sheetFormatPr defaultRowHeight="15" x14ac:dyDescent="0.25"/>
  <cols>
    <col min="1" max="2" width="31.5703125" customWidth="1"/>
    <col min="3" max="3" width="20.5703125" customWidth="1"/>
    <col min="4" max="4" width="23.85546875" customWidth="1"/>
    <col min="5" max="6" width="15.85546875" customWidth="1"/>
    <col min="7" max="7" width="41.42578125" bestFit="1" customWidth="1"/>
    <col min="8" max="8" width="37.5703125" customWidth="1"/>
    <col min="9" max="9" width="31.85546875" customWidth="1"/>
    <col min="10" max="11" width="18" customWidth="1"/>
  </cols>
  <sheetData>
    <row r="1" spans="1:10" ht="15.75" thickBot="1" x14ac:dyDescent="0.3">
      <c r="A1" s="8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0" t="s">
        <v>5</v>
      </c>
      <c r="G1" s="10" t="s">
        <v>6</v>
      </c>
      <c r="H1" s="10" t="s">
        <v>7</v>
      </c>
      <c r="I1" s="4" t="s">
        <v>8</v>
      </c>
      <c r="J1" s="14" t="s">
        <v>9</v>
      </c>
    </row>
    <row r="2" spans="1:10" x14ac:dyDescent="0.25">
      <c r="A2" s="6" t="s">
        <v>10</v>
      </c>
      <c r="B2" s="6" t="s">
        <v>11</v>
      </c>
      <c r="C2" s="12">
        <v>39613</v>
      </c>
      <c r="D2" s="5" t="s">
        <v>12</v>
      </c>
      <c r="E2" s="7" t="s">
        <v>13</v>
      </c>
      <c r="F2" s="5" t="s">
        <v>14</v>
      </c>
      <c r="G2" s="5" t="s">
        <v>15</v>
      </c>
      <c r="H2" s="5" t="s">
        <v>16</v>
      </c>
      <c r="I2" s="3">
        <v>20655</v>
      </c>
      <c r="J2" s="1" t="s">
        <v>17</v>
      </c>
    </row>
    <row r="3" spans="1:10" x14ac:dyDescent="0.25">
      <c r="A3" s="6" t="s">
        <v>18</v>
      </c>
      <c r="B3" s="6" t="s">
        <v>11</v>
      </c>
      <c r="C3" s="13">
        <v>41098</v>
      </c>
      <c r="D3" s="5" t="s">
        <v>19</v>
      </c>
      <c r="E3" s="7" t="s">
        <v>20</v>
      </c>
      <c r="F3" s="5" t="s">
        <v>21</v>
      </c>
      <c r="G3" s="5" t="s">
        <v>22</v>
      </c>
      <c r="H3" s="5" t="s">
        <v>23</v>
      </c>
      <c r="I3" s="3">
        <v>15544</v>
      </c>
      <c r="J3" s="1" t="s">
        <v>17</v>
      </c>
    </row>
    <row r="4" spans="1:10" x14ac:dyDescent="0.25">
      <c r="A4" s="6" t="s">
        <v>24</v>
      </c>
      <c r="B4" s="6" t="s">
        <v>11</v>
      </c>
      <c r="C4" s="13">
        <v>41601</v>
      </c>
      <c r="D4" s="5" t="s">
        <v>25</v>
      </c>
      <c r="E4" s="7" t="s">
        <v>26</v>
      </c>
      <c r="F4" s="5" t="s">
        <v>21</v>
      </c>
      <c r="G4" s="5" t="s">
        <v>27</v>
      </c>
      <c r="H4" s="5" t="s">
        <v>28</v>
      </c>
      <c r="I4" s="3">
        <v>32988</v>
      </c>
      <c r="J4" s="1" t="s">
        <v>29</v>
      </c>
    </row>
    <row r="5" spans="1:10" x14ac:dyDescent="0.25">
      <c r="A5" s="6" t="s">
        <v>30</v>
      </c>
      <c r="B5" s="6" t="s">
        <v>31</v>
      </c>
      <c r="C5" s="13">
        <v>42113</v>
      </c>
      <c r="D5" s="5" t="s">
        <v>25</v>
      </c>
      <c r="E5" s="7" t="s">
        <v>32</v>
      </c>
      <c r="F5" s="5" t="s">
        <v>21</v>
      </c>
      <c r="G5" s="5" t="s">
        <v>33</v>
      </c>
      <c r="H5" s="5" t="s">
        <v>23</v>
      </c>
      <c r="I5" s="3">
        <v>53124</v>
      </c>
      <c r="J5" s="1" t="s">
        <v>29</v>
      </c>
    </row>
    <row r="6" spans="1:10" x14ac:dyDescent="0.25">
      <c r="A6" s="15" t="s">
        <v>34</v>
      </c>
      <c r="B6" s="6" t="s">
        <v>11</v>
      </c>
      <c r="C6" s="13">
        <v>42260</v>
      </c>
      <c r="D6" s="5" t="s">
        <v>25</v>
      </c>
      <c r="E6" s="7" t="s">
        <v>35</v>
      </c>
      <c r="F6" s="5" t="s">
        <v>21</v>
      </c>
      <c r="G6" s="5" t="s">
        <v>36</v>
      </c>
      <c r="H6" s="5" t="s">
        <v>23</v>
      </c>
      <c r="I6" s="3">
        <v>10805</v>
      </c>
      <c r="J6" s="1" t="s">
        <v>29</v>
      </c>
    </row>
    <row r="7" spans="1:10" x14ac:dyDescent="0.25">
      <c r="A7" s="6" t="s">
        <v>37</v>
      </c>
      <c r="B7" s="6" t="s">
        <v>11</v>
      </c>
      <c r="C7" s="13">
        <v>42337</v>
      </c>
      <c r="D7" s="5" t="s">
        <v>38</v>
      </c>
      <c r="E7" s="7" t="s">
        <v>32</v>
      </c>
      <c r="F7" s="5" t="s">
        <v>21</v>
      </c>
      <c r="G7" s="5" t="s">
        <v>39</v>
      </c>
      <c r="H7" s="5" t="s">
        <v>23</v>
      </c>
      <c r="I7" s="3">
        <v>11618</v>
      </c>
      <c r="J7" s="1" t="s">
        <v>29</v>
      </c>
    </row>
    <row r="8" spans="1:10" x14ac:dyDescent="0.25">
      <c r="A8" s="6" t="s">
        <v>40</v>
      </c>
      <c r="B8" s="15" t="s">
        <v>41</v>
      </c>
      <c r="C8" s="13">
        <v>42700</v>
      </c>
      <c r="D8" s="5" t="s">
        <v>25</v>
      </c>
      <c r="E8" s="7" t="s">
        <v>20</v>
      </c>
      <c r="F8" s="5" t="s">
        <v>21</v>
      </c>
      <c r="G8" s="5" t="s">
        <v>42</v>
      </c>
      <c r="H8" s="5" t="s">
        <v>23</v>
      </c>
      <c r="I8" s="3">
        <v>56426</v>
      </c>
      <c r="J8" s="1" t="s">
        <v>29</v>
      </c>
    </row>
    <row r="9" spans="1:10" x14ac:dyDescent="0.25">
      <c r="A9" s="6" t="s">
        <v>43</v>
      </c>
      <c r="B9" s="6" t="s">
        <v>31</v>
      </c>
      <c r="C9" s="13">
        <v>42764</v>
      </c>
      <c r="D9" s="5" t="s">
        <v>44</v>
      </c>
      <c r="E9" s="7" t="s">
        <v>45</v>
      </c>
      <c r="F9" s="5" t="s">
        <v>46</v>
      </c>
      <c r="G9" s="5" t="s">
        <v>23</v>
      </c>
      <c r="H9" s="5" t="s">
        <v>47</v>
      </c>
      <c r="I9" s="3">
        <v>11711</v>
      </c>
      <c r="J9" s="1" t="s">
        <v>29</v>
      </c>
    </row>
    <row r="10" spans="1:10" x14ac:dyDescent="0.25">
      <c r="A10" s="6" t="s">
        <v>48</v>
      </c>
      <c r="B10" s="6" t="s">
        <v>31</v>
      </c>
      <c r="C10" s="13">
        <v>42784</v>
      </c>
      <c r="D10" s="5" t="s">
        <v>38</v>
      </c>
      <c r="E10" s="7" t="s">
        <v>32</v>
      </c>
      <c r="F10" s="5" t="s">
        <v>21</v>
      </c>
      <c r="G10" s="5" t="s">
        <v>49</v>
      </c>
      <c r="H10" s="5" t="s">
        <v>23</v>
      </c>
      <c r="I10" s="3">
        <v>6485</v>
      </c>
      <c r="J10" s="1" t="s">
        <v>29</v>
      </c>
    </row>
    <row r="11" spans="1:10" x14ac:dyDescent="0.25">
      <c r="A11" s="6" t="s">
        <v>50</v>
      </c>
      <c r="B11" s="6" t="s">
        <v>31</v>
      </c>
      <c r="C11" s="13">
        <v>42806</v>
      </c>
      <c r="D11" s="5" t="s">
        <v>44</v>
      </c>
      <c r="E11" s="7" t="s">
        <v>51</v>
      </c>
      <c r="F11" s="5" t="s">
        <v>14</v>
      </c>
      <c r="G11" s="5" t="s">
        <v>52</v>
      </c>
      <c r="H11" s="5" t="s">
        <v>53</v>
      </c>
      <c r="I11" s="3">
        <v>6386</v>
      </c>
      <c r="J11" s="1" t="s">
        <v>29</v>
      </c>
    </row>
    <row r="12" spans="1:10" x14ac:dyDescent="0.25">
      <c r="A12" s="6" t="s">
        <v>43</v>
      </c>
      <c r="B12" s="6" t="s">
        <v>31</v>
      </c>
      <c r="C12" s="13">
        <v>42847</v>
      </c>
      <c r="D12" s="5" t="s">
        <v>25</v>
      </c>
      <c r="E12" s="7" t="s">
        <v>45</v>
      </c>
      <c r="F12" s="5" t="s">
        <v>46</v>
      </c>
      <c r="G12" s="5" t="s">
        <v>23</v>
      </c>
      <c r="H12" s="5" t="s">
        <v>54</v>
      </c>
      <c r="I12" s="3">
        <v>23564</v>
      </c>
      <c r="J12" s="1" t="s">
        <v>17</v>
      </c>
    </row>
    <row r="13" spans="1:10" x14ac:dyDescent="0.25">
      <c r="A13" s="6" t="s">
        <v>55</v>
      </c>
      <c r="B13" s="6" t="s">
        <v>11</v>
      </c>
      <c r="C13" s="13">
        <v>42876</v>
      </c>
      <c r="D13" s="5" t="s">
        <v>38</v>
      </c>
      <c r="E13" s="7" t="s">
        <v>26</v>
      </c>
      <c r="F13" s="5" t="s">
        <v>21</v>
      </c>
      <c r="G13" s="5" t="s">
        <v>56</v>
      </c>
      <c r="H13" s="5" t="s">
        <v>57</v>
      </c>
      <c r="I13" s="3">
        <v>19030</v>
      </c>
      <c r="J13" s="1" t="s">
        <v>29</v>
      </c>
    </row>
    <row r="14" spans="1:10" x14ac:dyDescent="0.25">
      <c r="A14" s="6" t="s">
        <v>58</v>
      </c>
      <c r="B14" s="6" t="s">
        <v>11</v>
      </c>
      <c r="C14" s="13">
        <v>42911</v>
      </c>
      <c r="D14" s="5" t="s">
        <v>38</v>
      </c>
      <c r="E14" s="7" t="s">
        <v>59</v>
      </c>
      <c r="F14" s="5" t="s">
        <v>21</v>
      </c>
      <c r="G14" s="5" t="s">
        <v>39</v>
      </c>
      <c r="H14" s="5" t="s">
        <v>23</v>
      </c>
      <c r="I14" s="3" t="s">
        <v>60</v>
      </c>
      <c r="J14" s="1" t="s">
        <v>29</v>
      </c>
    </row>
    <row r="15" spans="1:10" x14ac:dyDescent="0.25">
      <c r="A15" s="6" t="s">
        <v>43</v>
      </c>
      <c r="B15" s="6" t="s">
        <v>11</v>
      </c>
      <c r="C15" s="13">
        <v>42973</v>
      </c>
      <c r="D15" s="5" t="s">
        <v>25</v>
      </c>
      <c r="E15" s="7" t="s">
        <v>32</v>
      </c>
      <c r="F15" s="5" t="s">
        <v>21</v>
      </c>
      <c r="G15" s="5" t="s">
        <v>61</v>
      </c>
      <c r="H15" s="5" t="s">
        <v>23</v>
      </c>
      <c r="I15" s="3" t="s">
        <v>62</v>
      </c>
      <c r="J15" s="1" t="s">
        <v>17</v>
      </c>
    </row>
    <row r="16" spans="1:10" x14ac:dyDescent="0.25">
      <c r="A16" s="6" t="s">
        <v>63</v>
      </c>
      <c r="B16" s="6" t="s">
        <v>11</v>
      </c>
      <c r="C16" s="13">
        <v>43022</v>
      </c>
      <c r="D16" s="5" t="s">
        <v>25</v>
      </c>
      <c r="E16" s="7" t="s">
        <v>32</v>
      </c>
      <c r="F16" s="5" t="s">
        <v>21</v>
      </c>
      <c r="G16" s="5" t="s">
        <v>39</v>
      </c>
      <c r="H16" s="5" t="s">
        <v>23</v>
      </c>
      <c r="I16" s="3">
        <v>31406</v>
      </c>
      <c r="J16" s="1" t="s">
        <v>29</v>
      </c>
    </row>
    <row r="17" spans="1:10" x14ac:dyDescent="0.25">
      <c r="A17" s="6" t="s">
        <v>64</v>
      </c>
      <c r="B17" s="6" t="s">
        <v>31</v>
      </c>
      <c r="C17" s="13">
        <v>43135</v>
      </c>
      <c r="D17" s="5" t="s">
        <v>38</v>
      </c>
      <c r="E17" s="7" t="s">
        <v>65</v>
      </c>
      <c r="F17" s="5" t="s">
        <v>21</v>
      </c>
      <c r="G17" s="5" t="s">
        <v>66</v>
      </c>
      <c r="H17" s="5" t="s">
        <v>67</v>
      </c>
      <c r="I17" s="3">
        <v>2693</v>
      </c>
      <c r="J17" s="1" t="s">
        <v>29</v>
      </c>
    </row>
    <row r="18" spans="1:10" x14ac:dyDescent="0.25">
      <c r="A18" s="6" t="s">
        <v>43</v>
      </c>
      <c r="B18" s="6" t="s">
        <v>31</v>
      </c>
      <c r="C18" s="13">
        <v>43166</v>
      </c>
      <c r="D18" s="5" t="s">
        <v>44</v>
      </c>
      <c r="E18" s="7" t="s">
        <v>68</v>
      </c>
      <c r="F18" s="5" t="s">
        <v>14</v>
      </c>
      <c r="G18" s="5" t="s">
        <v>23</v>
      </c>
      <c r="H18" s="5" t="s">
        <v>23</v>
      </c>
      <c r="I18" s="3">
        <v>6463</v>
      </c>
      <c r="J18" s="1" t="s">
        <v>29</v>
      </c>
    </row>
    <row r="19" spans="1:10" x14ac:dyDescent="0.25">
      <c r="A19" s="6" t="s">
        <v>43</v>
      </c>
      <c r="B19" s="6" t="s">
        <v>31</v>
      </c>
      <c r="C19" s="13">
        <v>43188</v>
      </c>
      <c r="D19" s="5" t="s">
        <v>25</v>
      </c>
      <c r="E19" s="7" t="s">
        <v>69</v>
      </c>
      <c r="F19" s="5" t="s">
        <v>21</v>
      </c>
      <c r="G19" s="5" t="s">
        <v>70</v>
      </c>
      <c r="H19" s="5" t="s">
        <v>71</v>
      </c>
      <c r="I19" s="3">
        <v>21788</v>
      </c>
      <c r="J19" s="1" t="s">
        <v>17</v>
      </c>
    </row>
    <row r="20" spans="1:10" x14ac:dyDescent="0.25">
      <c r="A20" s="6" t="s">
        <v>63</v>
      </c>
      <c r="B20" s="6" t="s">
        <v>31</v>
      </c>
      <c r="C20" s="13">
        <v>43191</v>
      </c>
      <c r="D20" s="5" t="s">
        <v>44</v>
      </c>
      <c r="E20" s="7" t="s">
        <v>69</v>
      </c>
      <c r="F20" s="5" t="s">
        <v>21</v>
      </c>
      <c r="G20" s="5" t="s">
        <v>72</v>
      </c>
      <c r="H20" s="5" t="s">
        <v>73</v>
      </c>
      <c r="I20" s="3">
        <v>19117</v>
      </c>
      <c r="J20" s="1" t="s">
        <v>17</v>
      </c>
    </row>
    <row r="21" spans="1:10" x14ac:dyDescent="0.25">
      <c r="A21" s="6" t="s">
        <v>63</v>
      </c>
      <c r="B21" s="6" t="s">
        <v>31</v>
      </c>
      <c r="C21" s="13">
        <v>43198</v>
      </c>
      <c r="D21" s="5" t="s">
        <v>25</v>
      </c>
      <c r="E21" s="7" t="s">
        <v>74</v>
      </c>
      <c r="F21" s="5" t="s">
        <v>46</v>
      </c>
      <c r="G21" s="5" t="s">
        <v>23</v>
      </c>
      <c r="H21" s="5" t="s">
        <v>75</v>
      </c>
      <c r="I21" s="3">
        <v>64200</v>
      </c>
      <c r="J21" s="1" t="s">
        <v>29</v>
      </c>
    </row>
    <row r="22" spans="1:10" x14ac:dyDescent="0.25">
      <c r="A22" s="6" t="s">
        <v>76</v>
      </c>
      <c r="B22" s="6" t="s">
        <v>11</v>
      </c>
      <c r="C22" s="13">
        <v>43205</v>
      </c>
      <c r="D22" s="5" t="s">
        <v>38</v>
      </c>
      <c r="E22" s="7" t="s">
        <v>77</v>
      </c>
      <c r="F22" s="5" t="s">
        <v>21</v>
      </c>
      <c r="G22" s="5" t="s">
        <v>78</v>
      </c>
      <c r="H22" s="5" t="s">
        <v>79</v>
      </c>
      <c r="I22" s="3">
        <v>7197</v>
      </c>
      <c r="J22" s="1" t="s">
        <v>29</v>
      </c>
    </row>
    <row r="23" spans="1:10" x14ac:dyDescent="0.25">
      <c r="A23" s="6" t="s">
        <v>63</v>
      </c>
      <c r="B23" s="6" t="s">
        <v>11</v>
      </c>
      <c r="C23" s="13">
        <v>43253</v>
      </c>
      <c r="D23" s="5" t="s">
        <v>38</v>
      </c>
      <c r="E23" s="7" t="s">
        <v>80</v>
      </c>
      <c r="F23" s="5" t="s">
        <v>46</v>
      </c>
      <c r="G23" s="5" t="s">
        <v>81</v>
      </c>
      <c r="H23" s="5" t="s">
        <v>82</v>
      </c>
      <c r="I23" s="3">
        <v>9454</v>
      </c>
      <c r="J23" s="1" t="s">
        <v>29</v>
      </c>
    </row>
    <row r="24" spans="1:10" x14ac:dyDescent="0.25">
      <c r="A24" s="6" t="s">
        <v>83</v>
      </c>
      <c r="B24" s="6" t="s">
        <v>11</v>
      </c>
      <c r="C24" s="13">
        <v>43250</v>
      </c>
      <c r="D24" s="5" t="s">
        <v>38</v>
      </c>
      <c r="E24" s="7" t="s">
        <v>32</v>
      </c>
      <c r="F24" s="5" t="s">
        <v>21</v>
      </c>
      <c r="G24" s="5" t="s">
        <v>84</v>
      </c>
      <c r="H24" s="5" t="s">
        <v>23</v>
      </c>
      <c r="I24" s="3">
        <v>4584</v>
      </c>
      <c r="J24" s="1" t="s">
        <v>29</v>
      </c>
    </row>
    <row r="25" spans="1:10" x14ac:dyDescent="0.25">
      <c r="A25" s="6" t="s">
        <v>55</v>
      </c>
      <c r="B25" s="6" t="s">
        <v>85</v>
      </c>
      <c r="C25" s="13">
        <v>43297</v>
      </c>
      <c r="D25" s="5" t="s">
        <v>38</v>
      </c>
      <c r="E25" s="7" t="s">
        <v>20</v>
      </c>
      <c r="F25" s="5" t="s">
        <v>21</v>
      </c>
      <c r="G25" s="5" t="s">
        <v>86</v>
      </c>
      <c r="H25" s="5" t="s">
        <v>23</v>
      </c>
      <c r="I25" s="3">
        <v>17561</v>
      </c>
      <c r="J25" s="1" t="s">
        <v>29</v>
      </c>
    </row>
    <row r="26" spans="1:10" x14ac:dyDescent="0.25">
      <c r="A26" s="6" t="s">
        <v>37</v>
      </c>
      <c r="B26" s="6" t="s">
        <v>11</v>
      </c>
      <c r="C26" s="13">
        <v>43344</v>
      </c>
      <c r="D26" s="5" t="s">
        <v>25</v>
      </c>
      <c r="E26" s="7" t="s">
        <v>87</v>
      </c>
      <c r="F26" s="5" t="s">
        <v>46</v>
      </c>
      <c r="G26" s="5" t="s">
        <v>23</v>
      </c>
      <c r="H26" s="5" t="s">
        <v>88</v>
      </c>
      <c r="I26" s="3">
        <v>33646</v>
      </c>
      <c r="J26" s="1" t="s">
        <v>29</v>
      </c>
    </row>
    <row r="27" spans="1:10" x14ac:dyDescent="0.25">
      <c r="A27" s="6" t="s">
        <v>48</v>
      </c>
      <c r="B27" s="6" t="s">
        <v>31</v>
      </c>
      <c r="C27" s="13">
        <v>43495</v>
      </c>
      <c r="D27" s="5" t="s">
        <v>89</v>
      </c>
      <c r="E27" s="7" t="s">
        <v>32</v>
      </c>
      <c r="F27" s="5" t="s">
        <v>21</v>
      </c>
      <c r="G27" s="5" t="s">
        <v>84</v>
      </c>
      <c r="H27" s="5" t="s">
        <v>23</v>
      </c>
      <c r="I27" s="3">
        <v>2602</v>
      </c>
      <c r="J27" s="1" t="s">
        <v>29</v>
      </c>
    </row>
    <row r="28" spans="1:10" x14ac:dyDescent="0.25">
      <c r="A28" s="6" t="s">
        <v>43</v>
      </c>
      <c r="B28" s="6" t="s">
        <v>31</v>
      </c>
      <c r="C28" s="13">
        <v>43513</v>
      </c>
      <c r="D28" s="5" t="s">
        <v>25</v>
      </c>
      <c r="E28" s="7" t="s">
        <v>32</v>
      </c>
      <c r="F28" s="5" t="s">
        <v>21</v>
      </c>
      <c r="G28" s="5" t="s">
        <v>90</v>
      </c>
      <c r="H28" s="5" t="s">
        <v>23</v>
      </c>
      <c r="I28" s="3">
        <v>29002</v>
      </c>
      <c r="J28" s="1" t="s">
        <v>29</v>
      </c>
    </row>
    <row r="29" spans="1:10" x14ac:dyDescent="0.25">
      <c r="A29" s="6" t="s">
        <v>91</v>
      </c>
      <c r="B29" s="6" t="s">
        <v>31</v>
      </c>
      <c r="C29" s="13">
        <v>43547</v>
      </c>
      <c r="D29" s="5" t="s">
        <v>38</v>
      </c>
      <c r="E29" s="7" t="s">
        <v>80</v>
      </c>
      <c r="F29" s="5" t="s">
        <v>46</v>
      </c>
      <c r="G29" s="5" t="s">
        <v>92</v>
      </c>
      <c r="H29" s="5" t="s">
        <v>93</v>
      </c>
      <c r="I29" s="3">
        <v>9493</v>
      </c>
      <c r="J29" s="1" t="s">
        <v>29</v>
      </c>
    </row>
    <row r="30" spans="1:10" x14ac:dyDescent="0.25">
      <c r="A30" s="6" t="s">
        <v>91</v>
      </c>
      <c r="B30" s="6" t="s">
        <v>31</v>
      </c>
      <c r="C30" s="13">
        <v>43562</v>
      </c>
      <c r="D30" s="5" t="s">
        <v>25</v>
      </c>
      <c r="E30" s="7" t="s">
        <v>26</v>
      </c>
      <c r="F30" s="5" t="s">
        <v>21</v>
      </c>
      <c r="G30" s="5" t="s">
        <v>94</v>
      </c>
      <c r="H30" s="5" t="s">
        <v>95</v>
      </c>
      <c r="I30" s="3">
        <v>19786</v>
      </c>
      <c r="J30" s="1" t="s">
        <v>29</v>
      </c>
    </row>
    <row r="31" spans="1:10" x14ac:dyDescent="0.25">
      <c r="A31" s="6" t="s">
        <v>96</v>
      </c>
      <c r="B31" s="6" t="s">
        <v>11</v>
      </c>
      <c r="C31" s="13">
        <v>43604</v>
      </c>
      <c r="D31" s="5" t="s">
        <v>38</v>
      </c>
      <c r="E31" s="7" t="s">
        <v>13</v>
      </c>
      <c r="F31" s="5" t="s">
        <v>21</v>
      </c>
      <c r="G31" s="5" t="s">
        <v>97</v>
      </c>
      <c r="H31" s="5" t="s">
        <v>98</v>
      </c>
      <c r="I31" s="3">
        <v>13924</v>
      </c>
      <c r="J31" s="1" t="s">
        <v>29</v>
      </c>
    </row>
    <row r="32" spans="1:10" x14ac:dyDescent="0.25">
      <c r="A32" s="6" t="s">
        <v>43</v>
      </c>
      <c r="B32" s="6" t="s">
        <v>11</v>
      </c>
      <c r="C32" s="13">
        <v>43666</v>
      </c>
      <c r="D32" s="5" t="s">
        <v>38</v>
      </c>
      <c r="E32" s="7" t="s">
        <v>26</v>
      </c>
      <c r="F32" s="5" t="s">
        <v>21</v>
      </c>
      <c r="G32" s="5" t="s">
        <v>99</v>
      </c>
      <c r="H32" s="5" t="s">
        <v>100</v>
      </c>
      <c r="I32" s="3">
        <v>20904</v>
      </c>
      <c r="J32" s="1" t="s">
        <v>29</v>
      </c>
    </row>
    <row r="33" spans="1:10" x14ac:dyDescent="0.25">
      <c r="A33" s="6" t="s">
        <v>101</v>
      </c>
      <c r="B33" s="6" t="s">
        <v>11</v>
      </c>
      <c r="C33" s="13">
        <v>43702</v>
      </c>
      <c r="D33" s="5" t="s">
        <v>38</v>
      </c>
      <c r="E33" s="7" t="s">
        <v>20</v>
      </c>
      <c r="F33" s="5" t="s">
        <v>21</v>
      </c>
      <c r="G33" s="5" t="s">
        <v>102</v>
      </c>
      <c r="H33" s="5" t="s">
        <v>23</v>
      </c>
      <c r="I33" s="3">
        <v>19191</v>
      </c>
      <c r="J33" s="1" t="s">
        <v>29</v>
      </c>
    </row>
    <row r="34" spans="1:10" x14ac:dyDescent="0.25">
      <c r="A34" s="15" t="s">
        <v>34</v>
      </c>
      <c r="B34" s="6" t="s">
        <v>11</v>
      </c>
      <c r="C34" s="13">
        <v>43730</v>
      </c>
      <c r="D34" s="5" t="s">
        <v>38</v>
      </c>
      <c r="E34" s="7" t="s">
        <v>13</v>
      </c>
      <c r="F34" s="5" t="s">
        <v>14</v>
      </c>
      <c r="G34" s="5" t="s">
        <v>90</v>
      </c>
      <c r="H34" s="5" t="s">
        <v>103</v>
      </c>
      <c r="I34" s="3">
        <v>17427</v>
      </c>
      <c r="J34" s="1" t="s">
        <v>29</v>
      </c>
    </row>
    <row r="35" spans="1:10" x14ac:dyDescent="0.25">
      <c r="A35" s="6" t="s">
        <v>37</v>
      </c>
      <c r="B35" s="6" t="s">
        <v>11</v>
      </c>
      <c r="C35" s="13">
        <v>43743</v>
      </c>
      <c r="D35" s="5" t="s">
        <v>38</v>
      </c>
      <c r="E35" s="7" t="s">
        <v>74</v>
      </c>
      <c r="F35" s="5" t="s">
        <v>46</v>
      </c>
      <c r="G35" s="5" t="s">
        <v>23</v>
      </c>
      <c r="H35" s="5" t="s">
        <v>104</v>
      </c>
      <c r="I35" s="3">
        <v>17083</v>
      </c>
      <c r="J35" s="1" t="s">
        <v>29</v>
      </c>
    </row>
    <row r="36" spans="1:10" x14ac:dyDescent="0.25">
      <c r="A36" s="6" t="s">
        <v>105</v>
      </c>
      <c r="B36" s="6" t="s">
        <v>11</v>
      </c>
      <c r="C36" s="13">
        <v>43751</v>
      </c>
      <c r="D36" s="5" t="s">
        <v>38</v>
      </c>
      <c r="E36" s="7" t="s">
        <v>32</v>
      </c>
      <c r="F36" s="5" t="s">
        <v>21</v>
      </c>
      <c r="G36" s="5" t="s">
        <v>84</v>
      </c>
      <c r="H36" s="5" t="s">
        <v>23</v>
      </c>
      <c r="I36" s="3">
        <v>12285</v>
      </c>
      <c r="J36" s="1" t="s">
        <v>29</v>
      </c>
    </row>
    <row r="37" spans="1:10" x14ac:dyDescent="0.25">
      <c r="A37" s="6" t="s">
        <v>342</v>
      </c>
      <c r="B37" s="6" t="s">
        <v>11</v>
      </c>
      <c r="C37" s="13">
        <v>43787</v>
      </c>
      <c r="D37" s="5" t="s">
        <v>38</v>
      </c>
      <c r="E37" s="7" t="s">
        <v>13</v>
      </c>
      <c r="F37" s="5" t="s">
        <v>14</v>
      </c>
      <c r="G37" s="5" t="s">
        <v>107</v>
      </c>
      <c r="H37" s="5" t="s">
        <v>108</v>
      </c>
      <c r="I37" s="3">
        <v>18620</v>
      </c>
      <c r="J37" s="1" t="s">
        <v>29</v>
      </c>
    </row>
    <row r="38" spans="1:10" x14ac:dyDescent="0.25">
      <c r="A38" s="6" t="s">
        <v>24</v>
      </c>
      <c r="B38" s="6" t="s">
        <v>11</v>
      </c>
      <c r="C38" s="13">
        <v>43801</v>
      </c>
      <c r="D38" s="5" t="s">
        <v>38</v>
      </c>
      <c r="E38" s="7" t="s">
        <v>32</v>
      </c>
      <c r="F38" s="5" t="s">
        <v>21</v>
      </c>
      <c r="G38" s="5" t="s">
        <v>107</v>
      </c>
      <c r="H38" s="5" t="s">
        <v>23</v>
      </c>
      <c r="I38" s="3">
        <v>19786</v>
      </c>
      <c r="J38" s="1" t="s">
        <v>29</v>
      </c>
    </row>
    <row r="39" spans="1:10" x14ac:dyDescent="0.25">
      <c r="A39" s="6" t="s">
        <v>109</v>
      </c>
      <c r="B39" s="6" t="s">
        <v>11</v>
      </c>
      <c r="C39" s="13">
        <v>43807</v>
      </c>
      <c r="D39" s="5" t="s">
        <v>25</v>
      </c>
      <c r="E39" s="7" t="s">
        <v>13</v>
      </c>
      <c r="F39" s="5" t="s">
        <v>110</v>
      </c>
      <c r="G39" s="5" t="s">
        <v>84</v>
      </c>
      <c r="H39" s="5" t="s">
        <v>111</v>
      </c>
      <c r="I39" s="3">
        <v>67395</v>
      </c>
      <c r="J39" s="1" t="s">
        <v>29</v>
      </c>
    </row>
    <row r="40" spans="1:10" x14ac:dyDescent="0.25">
      <c r="A40" s="6" t="s">
        <v>91</v>
      </c>
      <c r="B40" s="6" t="s">
        <v>31</v>
      </c>
      <c r="C40" s="13">
        <v>43849</v>
      </c>
      <c r="D40" s="5" t="s">
        <v>38</v>
      </c>
      <c r="E40" s="7" t="s">
        <v>68</v>
      </c>
      <c r="F40" s="5" t="s">
        <v>14</v>
      </c>
      <c r="G40" s="5" t="s">
        <v>23</v>
      </c>
      <c r="H40" s="5" t="s">
        <v>23</v>
      </c>
      <c r="I40" s="3">
        <v>18371</v>
      </c>
      <c r="J40" s="1" t="s">
        <v>29</v>
      </c>
    </row>
    <row r="41" spans="1:10" x14ac:dyDescent="0.25">
      <c r="A41" s="6" t="s">
        <v>63</v>
      </c>
      <c r="B41" s="6" t="s">
        <v>31</v>
      </c>
      <c r="C41" s="13">
        <v>43863</v>
      </c>
      <c r="D41" s="5" t="s">
        <v>44</v>
      </c>
      <c r="E41" s="7" t="s">
        <v>74</v>
      </c>
      <c r="F41" s="5" t="s">
        <v>46</v>
      </c>
      <c r="G41" s="5" t="s">
        <v>23</v>
      </c>
      <c r="H41" s="5" t="s">
        <v>112</v>
      </c>
      <c r="I41" s="3">
        <v>12862</v>
      </c>
      <c r="J41" s="1" t="s">
        <v>17</v>
      </c>
    </row>
    <row r="42" spans="1:10" x14ac:dyDescent="0.25">
      <c r="A42" s="6" t="s">
        <v>113</v>
      </c>
      <c r="B42" s="6" t="s">
        <v>114</v>
      </c>
      <c r="C42" s="13">
        <v>43867</v>
      </c>
      <c r="D42" s="5" t="s">
        <v>38</v>
      </c>
      <c r="E42" s="7" t="s">
        <v>32</v>
      </c>
      <c r="F42" s="5" t="s">
        <v>21</v>
      </c>
      <c r="G42" s="5" t="s">
        <v>115</v>
      </c>
      <c r="H42" s="5" t="s">
        <v>23</v>
      </c>
      <c r="I42" s="3">
        <v>18105</v>
      </c>
      <c r="J42" s="1" t="s">
        <v>29</v>
      </c>
    </row>
    <row r="43" spans="1:10" x14ac:dyDescent="0.25">
      <c r="A43" s="6" t="s">
        <v>116</v>
      </c>
      <c r="B43" s="6" t="s">
        <v>85</v>
      </c>
      <c r="C43" s="13">
        <v>43895</v>
      </c>
      <c r="D43" s="5" t="s">
        <v>25</v>
      </c>
      <c r="E43" s="7" t="s">
        <v>32</v>
      </c>
      <c r="F43" s="5" t="s">
        <v>21</v>
      </c>
      <c r="G43" s="5" t="s">
        <v>115</v>
      </c>
      <c r="H43" s="5" t="s">
        <v>23</v>
      </c>
      <c r="I43" s="3">
        <v>31839</v>
      </c>
      <c r="J43" s="1" t="s">
        <v>29</v>
      </c>
    </row>
    <row r="44" spans="1:10" x14ac:dyDescent="0.25">
      <c r="A44" s="6" t="s">
        <v>117</v>
      </c>
      <c r="B44" s="6" t="s">
        <v>41</v>
      </c>
      <c r="C44" s="13">
        <v>44475</v>
      </c>
      <c r="D44" s="5" t="s">
        <v>38</v>
      </c>
      <c r="E44" s="7" t="s">
        <v>26</v>
      </c>
      <c r="F44" s="5" t="s">
        <v>21</v>
      </c>
      <c r="G44" s="5" t="s">
        <v>118</v>
      </c>
      <c r="H44" s="5" t="s">
        <v>119</v>
      </c>
      <c r="I44" s="3">
        <v>6245</v>
      </c>
      <c r="J44" s="1" t="s">
        <v>29</v>
      </c>
    </row>
    <row r="45" spans="1:10" x14ac:dyDescent="0.25">
      <c r="A45" s="6" t="s">
        <v>120</v>
      </c>
      <c r="B45" s="6" t="s">
        <v>31</v>
      </c>
      <c r="C45" s="13">
        <v>44598</v>
      </c>
      <c r="D45" s="5" t="s">
        <v>121</v>
      </c>
      <c r="E45" s="7" t="s">
        <v>65</v>
      </c>
      <c r="F45" s="5" t="s">
        <v>21</v>
      </c>
      <c r="G45" s="5" t="s">
        <v>122</v>
      </c>
      <c r="H45" s="5" t="s">
        <v>123</v>
      </c>
      <c r="I45" s="3">
        <v>2153</v>
      </c>
      <c r="J45" s="1" t="s">
        <v>17</v>
      </c>
    </row>
    <row r="46" spans="1:10" x14ac:dyDescent="0.25">
      <c r="A46" s="6" t="s">
        <v>30</v>
      </c>
      <c r="B46" s="6" t="s">
        <v>31</v>
      </c>
      <c r="C46" s="13">
        <v>44636</v>
      </c>
      <c r="D46" s="5" t="s">
        <v>25</v>
      </c>
      <c r="E46" s="7" t="s">
        <v>74</v>
      </c>
      <c r="F46" s="5" t="s">
        <v>46</v>
      </c>
      <c r="G46" s="5" t="s">
        <v>23</v>
      </c>
      <c r="H46" s="5" t="s">
        <v>124</v>
      </c>
      <c r="I46" s="3">
        <v>37867</v>
      </c>
      <c r="J46" s="1" t="s">
        <v>29</v>
      </c>
    </row>
    <row r="47" spans="1:10" x14ac:dyDescent="0.25">
      <c r="A47" s="6" t="s">
        <v>30</v>
      </c>
      <c r="B47" s="6" t="s">
        <v>31</v>
      </c>
      <c r="C47" s="13">
        <v>44642</v>
      </c>
      <c r="D47" s="5" t="s">
        <v>25</v>
      </c>
      <c r="E47" s="7" t="s">
        <v>74</v>
      </c>
      <c r="F47" s="5" t="s">
        <v>46</v>
      </c>
      <c r="G47" s="5" t="s">
        <v>23</v>
      </c>
      <c r="H47" s="5" t="s">
        <v>125</v>
      </c>
      <c r="I47" s="3">
        <v>58478</v>
      </c>
      <c r="J47" s="1" t="s">
        <v>17</v>
      </c>
    </row>
    <row r="48" spans="1:10" x14ac:dyDescent="0.25">
      <c r="A48" s="6" t="s">
        <v>126</v>
      </c>
      <c r="B48" s="6" t="s">
        <v>41</v>
      </c>
      <c r="C48" s="13">
        <v>44659</v>
      </c>
      <c r="D48" s="5" t="s">
        <v>38</v>
      </c>
      <c r="E48" s="7" t="s">
        <v>13</v>
      </c>
      <c r="F48" s="5" t="s">
        <v>14</v>
      </c>
      <c r="G48" s="5" t="s">
        <v>127</v>
      </c>
      <c r="H48" s="5" t="s">
        <v>128</v>
      </c>
      <c r="I48" s="3">
        <v>17251</v>
      </c>
      <c r="J48" s="1" t="s">
        <v>29</v>
      </c>
    </row>
    <row r="49" spans="1:10" x14ac:dyDescent="0.25">
      <c r="A49" s="6" t="s">
        <v>129</v>
      </c>
      <c r="B49" s="6" t="s">
        <v>41</v>
      </c>
      <c r="C49" s="13">
        <v>44678</v>
      </c>
      <c r="D49" s="5" t="s">
        <v>38</v>
      </c>
      <c r="E49" s="7" t="s">
        <v>32</v>
      </c>
      <c r="F49" s="5" t="s">
        <v>21</v>
      </c>
      <c r="G49" s="5" t="s">
        <v>127</v>
      </c>
      <c r="H49" s="5" t="s">
        <v>23</v>
      </c>
      <c r="I49" s="3">
        <v>9165</v>
      </c>
      <c r="J49" s="1" t="s">
        <v>29</v>
      </c>
    </row>
    <row r="50" spans="1:10" x14ac:dyDescent="0.25">
      <c r="A50" s="15" t="s">
        <v>130</v>
      </c>
      <c r="B50" s="15" t="s">
        <v>41</v>
      </c>
      <c r="C50" s="16">
        <v>44707</v>
      </c>
      <c r="D50" s="17" t="s">
        <v>38</v>
      </c>
      <c r="E50" s="18" t="s">
        <v>20</v>
      </c>
      <c r="F50" s="18" t="s">
        <v>21</v>
      </c>
      <c r="G50" s="17" t="s">
        <v>131</v>
      </c>
      <c r="H50" s="17" t="s">
        <v>23</v>
      </c>
      <c r="I50" s="19">
        <v>18452</v>
      </c>
      <c r="J50" s="20" t="s">
        <v>29</v>
      </c>
    </row>
    <row r="51" spans="1:10" x14ac:dyDescent="0.25">
      <c r="A51" s="15" t="s">
        <v>132</v>
      </c>
      <c r="B51" s="15" t="s">
        <v>41</v>
      </c>
      <c r="C51" s="16">
        <v>44714</v>
      </c>
      <c r="D51" s="17" t="s">
        <v>38</v>
      </c>
      <c r="E51" s="18" t="s">
        <v>68</v>
      </c>
      <c r="F51" s="18" t="s">
        <v>14</v>
      </c>
      <c r="G51" s="17" t="s">
        <v>23</v>
      </c>
      <c r="H51" s="17" t="s">
        <v>23</v>
      </c>
      <c r="I51" s="19">
        <v>21075</v>
      </c>
      <c r="J51" s="20" t="s">
        <v>29</v>
      </c>
    </row>
    <row r="52" spans="1:10" x14ac:dyDescent="0.25">
      <c r="A52" s="6" t="s">
        <v>245</v>
      </c>
      <c r="B52" s="6" t="s">
        <v>41</v>
      </c>
      <c r="C52" s="16">
        <v>44736</v>
      </c>
      <c r="D52" s="5" t="s">
        <v>38</v>
      </c>
      <c r="E52" s="7" t="s">
        <v>134</v>
      </c>
      <c r="F52" s="7" t="s">
        <v>21</v>
      </c>
      <c r="G52" s="5" t="s">
        <v>135</v>
      </c>
      <c r="H52" s="5" t="s">
        <v>23</v>
      </c>
      <c r="I52" s="19">
        <v>21739</v>
      </c>
      <c r="J52" s="1" t="s">
        <v>29</v>
      </c>
    </row>
    <row r="53" spans="1:10" x14ac:dyDescent="0.25">
      <c r="A53" s="15" t="s">
        <v>18</v>
      </c>
      <c r="B53" s="6" t="s">
        <v>41</v>
      </c>
      <c r="C53" s="16">
        <v>44745</v>
      </c>
      <c r="D53" s="5" t="s">
        <v>25</v>
      </c>
      <c r="E53" s="7" t="s">
        <v>68</v>
      </c>
      <c r="F53" s="7" t="s">
        <v>14</v>
      </c>
      <c r="G53" s="5" t="s">
        <v>23</v>
      </c>
      <c r="H53" s="5" t="s">
        <v>23</v>
      </c>
      <c r="I53" s="19">
        <v>60601</v>
      </c>
      <c r="J53" s="1" t="s">
        <v>29</v>
      </c>
    </row>
    <row r="54" spans="1:10" x14ac:dyDescent="0.25">
      <c r="A54" s="6" t="s">
        <v>136</v>
      </c>
      <c r="B54" s="6" t="s">
        <v>41</v>
      </c>
      <c r="C54" s="16">
        <v>44763</v>
      </c>
      <c r="D54" s="5" t="s">
        <v>38</v>
      </c>
      <c r="E54" s="7" t="s">
        <v>13</v>
      </c>
      <c r="F54" s="7" t="s">
        <v>14</v>
      </c>
      <c r="G54" s="5" t="s">
        <v>127</v>
      </c>
      <c r="H54" s="5" t="s">
        <v>137</v>
      </c>
      <c r="I54" s="19">
        <v>20508</v>
      </c>
      <c r="J54" s="1" t="s">
        <v>29</v>
      </c>
    </row>
    <row r="55" spans="1:10" x14ac:dyDescent="0.25">
      <c r="A55" s="15" t="s">
        <v>109</v>
      </c>
      <c r="B55" s="6" t="s">
        <v>41</v>
      </c>
      <c r="C55" s="16">
        <v>44773</v>
      </c>
      <c r="D55" s="5" t="s">
        <v>38</v>
      </c>
      <c r="E55" s="7" t="s">
        <v>68</v>
      </c>
      <c r="F55" s="7" t="s">
        <v>14</v>
      </c>
      <c r="G55" s="5" t="s">
        <v>23</v>
      </c>
      <c r="H55" s="5" t="s">
        <v>23</v>
      </c>
      <c r="I55" s="19">
        <v>20918</v>
      </c>
      <c r="J55" s="1" t="s">
        <v>29</v>
      </c>
    </row>
    <row r="56" spans="1:10" x14ac:dyDescent="0.25">
      <c r="A56" s="6" t="s">
        <v>138</v>
      </c>
      <c r="B56" s="6" t="s">
        <v>41</v>
      </c>
      <c r="C56" s="16">
        <v>44804</v>
      </c>
      <c r="D56" s="5" t="s">
        <v>38</v>
      </c>
      <c r="E56" s="7" t="s">
        <v>26</v>
      </c>
      <c r="F56" s="7" t="s">
        <v>21</v>
      </c>
      <c r="G56" s="5" t="s">
        <v>139</v>
      </c>
      <c r="H56" s="5" t="s">
        <v>140</v>
      </c>
      <c r="I56" s="19">
        <v>19368</v>
      </c>
      <c r="J56" s="1" t="s">
        <v>29</v>
      </c>
    </row>
    <row r="57" spans="1:10" x14ac:dyDescent="0.25">
      <c r="A57" s="6" t="s">
        <v>141</v>
      </c>
      <c r="B57" s="6" t="s">
        <v>41</v>
      </c>
      <c r="C57" s="16">
        <v>44824</v>
      </c>
      <c r="D57" s="5" t="s">
        <v>38</v>
      </c>
      <c r="E57" s="7" t="s">
        <v>13</v>
      </c>
      <c r="F57" s="7" t="s">
        <v>14</v>
      </c>
      <c r="G57" s="5" t="s">
        <v>142</v>
      </c>
      <c r="H57" s="5" t="s">
        <v>143</v>
      </c>
      <c r="I57" s="19">
        <v>19803</v>
      </c>
      <c r="J57" s="1" t="s">
        <v>29</v>
      </c>
    </row>
    <row r="58" spans="1:10" x14ac:dyDescent="0.25">
      <c r="A58" s="6" t="s">
        <v>144</v>
      </c>
      <c r="B58" s="6" t="s">
        <v>41</v>
      </c>
      <c r="C58" s="16">
        <v>44861</v>
      </c>
      <c r="D58" s="5" t="s">
        <v>38</v>
      </c>
      <c r="E58" s="7" t="s">
        <v>145</v>
      </c>
      <c r="F58" s="7" t="s">
        <v>46</v>
      </c>
      <c r="G58" s="5" t="s">
        <v>146</v>
      </c>
      <c r="H58" s="5" t="s">
        <v>147</v>
      </c>
      <c r="I58" s="19">
        <v>20111</v>
      </c>
      <c r="J58" s="1" t="s">
        <v>29</v>
      </c>
    </row>
    <row r="59" spans="1:10" x14ac:dyDescent="0.25">
      <c r="A59" s="6" t="s">
        <v>48</v>
      </c>
      <c r="B59" s="6" t="s">
        <v>31</v>
      </c>
      <c r="C59" s="16">
        <v>44951</v>
      </c>
      <c r="D59" s="5" t="s">
        <v>148</v>
      </c>
      <c r="E59" s="7" t="s">
        <v>20</v>
      </c>
      <c r="F59" s="7" t="s">
        <v>21</v>
      </c>
      <c r="G59" s="5" t="s">
        <v>149</v>
      </c>
      <c r="H59" s="5" t="s">
        <v>23</v>
      </c>
      <c r="I59" s="19">
        <v>3900</v>
      </c>
      <c r="J59" s="1" t="s">
        <v>29</v>
      </c>
    </row>
    <row r="60" spans="1:10" x14ac:dyDescent="0.25">
      <c r="A60" s="15" t="s">
        <v>43</v>
      </c>
      <c r="B60" s="6" t="s">
        <v>31</v>
      </c>
      <c r="C60" s="16">
        <v>44969</v>
      </c>
      <c r="D60" s="5" t="s">
        <v>25</v>
      </c>
      <c r="E60" s="7" t="s">
        <v>150</v>
      </c>
      <c r="F60" s="7" t="s">
        <v>46</v>
      </c>
      <c r="G60" s="5" t="s">
        <v>23</v>
      </c>
      <c r="H60" s="5" t="s">
        <v>151</v>
      </c>
      <c r="I60" s="19">
        <v>57631</v>
      </c>
      <c r="J60" s="1" t="s">
        <v>17</v>
      </c>
    </row>
    <row r="61" spans="1:10" x14ac:dyDescent="0.25">
      <c r="A61" s="6" t="s">
        <v>152</v>
      </c>
      <c r="B61" s="6" t="s">
        <v>31</v>
      </c>
      <c r="C61" s="16">
        <v>44984</v>
      </c>
      <c r="D61" s="5" t="s">
        <v>38</v>
      </c>
      <c r="E61" s="7" t="s">
        <v>153</v>
      </c>
      <c r="F61" s="7" t="s">
        <v>21</v>
      </c>
      <c r="G61" s="5" t="s">
        <v>154</v>
      </c>
      <c r="H61" s="5" t="s">
        <v>155</v>
      </c>
      <c r="I61" s="19">
        <v>17537</v>
      </c>
      <c r="J61" s="1" t="s">
        <v>29</v>
      </c>
    </row>
    <row r="62" spans="1:10" x14ac:dyDescent="0.25">
      <c r="A62" s="6" t="s">
        <v>91</v>
      </c>
      <c r="B62" s="6" t="s">
        <v>31</v>
      </c>
      <c r="C62" s="16">
        <v>44994</v>
      </c>
      <c r="D62" s="5" t="s">
        <v>38</v>
      </c>
      <c r="E62" s="7" t="s">
        <v>20</v>
      </c>
      <c r="F62" s="7" t="s">
        <v>21</v>
      </c>
      <c r="G62" s="5" t="s">
        <v>156</v>
      </c>
      <c r="H62" s="5" t="s">
        <v>23</v>
      </c>
      <c r="I62" s="19">
        <v>17712</v>
      </c>
      <c r="J62" s="1" t="s">
        <v>29</v>
      </c>
    </row>
    <row r="63" spans="1:10" x14ac:dyDescent="0.25">
      <c r="A63" s="15" t="s">
        <v>30</v>
      </c>
      <c r="B63" s="6" t="s">
        <v>31</v>
      </c>
      <c r="C63" s="16">
        <v>44998</v>
      </c>
      <c r="D63" s="5" t="s">
        <v>25</v>
      </c>
      <c r="E63" s="7" t="s">
        <v>145</v>
      </c>
      <c r="F63" s="5" t="s">
        <v>46</v>
      </c>
      <c r="G63" s="5" t="s">
        <v>157</v>
      </c>
      <c r="H63" s="5" t="s">
        <v>158</v>
      </c>
      <c r="I63" s="19">
        <v>45093</v>
      </c>
      <c r="J63" s="5" t="s">
        <v>17</v>
      </c>
    </row>
    <row r="64" spans="1:10" x14ac:dyDescent="0.25">
      <c r="A64" s="15" t="s">
        <v>116</v>
      </c>
      <c r="B64" s="6" t="s">
        <v>85</v>
      </c>
      <c r="C64" s="13">
        <v>45001</v>
      </c>
      <c r="D64" s="5" t="s">
        <v>38</v>
      </c>
      <c r="E64" s="7" t="s">
        <v>68</v>
      </c>
      <c r="F64" s="5" t="s">
        <v>14</v>
      </c>
      <c r="G64" s="5" t="s">
        <v>23</v>
      </c>
      <c r="H64" s="5" t="s">
        <v>23</v>
      </c>
      <c r="I64" s="19">
        <v>13329</v>
      </c>
      <c r="J64" s="5" t="s">
        <v>29</v>
      </c>
    </row>
    <row r="65" spans="1:10" x14ac:dyDescent="0.25">
      <c r="A65" s="15" t="s">
        <v>30</v>
      </c>
      <c r="B65" s="6" t="s">
        <v>31</v>
      </c>
      <c r="C65" s="16">
        <v>45004</v>
      </c>
      <c r="D65" s="5" t="s">
        <v>25</v>
      </c>
      <c r="E65" s="7" t="s">
        <v>159</v>
      </c>
      <c r="F65" s="5" t="s">
        <v>46</v>
      </c>
      <c r="G65" s="5" t="s">
        <v>160</v>
      </c>
      <c r="H65" s="5" t="s">
        <v>161</v>
      </c>
      <c r="I65" s="19">
        <v>49779</v>
      </c>
      <c r="J65" s="5" t="s">
        <v>29</v>
      </c>
    </row>
    <row r="66" spans="1:10" x14ac:dyDescent="0.25">
      <c r="A66" s="15" t="s">
        <v>236</v>
      </c>
      <c r="B66" s="6" t="s">
        <v>11</v>
      </c>
      <c r="C66" s="16">
        <v>45031</v>
      </c>
      <c r="D66" s="5" t="s">
        <v>163</v>
      </c>
      <c r="E66" s="7" t="s">
        <v>26</v>
      </c>
      <c r="F66" s="5" t="s">
        <v>21</v>
      </c>
      <c r="G66" s="5" t="s">
        <v>164</v>
      </c>
      <c r="H66" s="5" t="s">
        <v>165</v>
      </c>
      <c r="I66" s="19">
        <v>34980</v>
      </c>
      <c r="J66" s="5" t="s">
        <v>17</v>
      </c>
    </row>
    <row r="67" spans="1:10" x14ac:dyDescent="0.25">
      <c r="A67" s="15" t="s">
        <v>43</v>
      </c>
      <c r="B67" s="6" t="s">
        <v>11</v>
      </c>
      <c r="C67" s="16">
        <v>45052</v>
      </c>
      <c r="D67" s="5" t="s">
        <v>25</v>
      </c>
      <c r="E67" s="7" t="s">
        <v>13</v>
      </c>
      <c r="F67" s="5" t="s">
        <v>14</v>
      </c>
      <c r="G67" s="5" t="s">
        <v>166</v>
      </c>
      <c r="H67" s="5" t="s">
        <v>167</v>
      </c>
      <c r="I67" s="19">
        <v>39850</v>
      </c>
      <c r="J67" s="5" t="s">
        <v>17</v>
      </c>
    </row>
    <row r="68" spans="1:10" x14ac:dyDescent="0.25">
      <c r="A68" s="15" t="s">
        <v>30</v>
      </c>
      <c r="B68" s="6" t="s">
        <v>11</v>
      </c>
      <c r="C68" s="16">
        <v>45082</v>
      </c>
      <c r="D68" s="5" t="s">
        <v>25</v>
      </c>
      <c r="E68" s="7" t="s">
        <v>168</v>
      </c>
      <c r="F68" s="5" t="s">
        <v>46</v>
      </c>
      <c r="G68" s="5" t="s">
        <v>169</v>
      </c>
      <c r="H68" s="5" t="s">
        <v>170</v>
      </c>
      <c r="I68" s="19">
        <v>46423</v>
      </c>
      <c r="J68" s="5" t="s">
        <v>29</v>
      </c>
    </row>
    <row r="69" spans="1:10" x14ac:dyDescent="0.25">
      <c r="A69" s="6" t="s">
        <v>171</v>
      </c>
      <c r="B69" s="6" t="s">
        <v>11</v>
      </c>
      <c r="C69" s="16">
        <v>45099</v>
      </c>
      <c r="D69" s="5" t="s">
        <v>38</v>
      </c>
      <c r="E69" s="7" t="s">
        <v>74</v>
      </c>
      <c r="F69" s="5" t="s">
        <v>46</v>
      </c>
      <c r="G69" s="5" t="s">
        <v>23</v>
      </c>
      <c r="H69" s="5" t="s">
        <v>172</v>
      </c>
      <c r="I69" s="19">
        <v>17647</v>
      </c>
      <c r="J69" s="5" t="s">
        <v>29</v>
      </c>
    </row>
    <row r="70" spans="1:10" x14ac:dyDescent="0.25">
      <c r="A70" s="15" t="s">
        <v>236</v>
      </c>
      <c r="B70" s="6" t="s">
        <v>11</v>
      </c>
      <c r="C70" s="16">
        <v>45158</v>
      </c>
      <c r="D70" s="5" t="s">
        <v>25</v>
      </c>
      <c r="E70" s="7" t="s">
        <v>32</v>
      </c>
      <c r="F70" s="5" t="s">
        <v>21</v>
      </c>
      <c r="G70" s="5" t="s">
        <v>173</v>
      </c>
      <c r="H70" s="5" t="s">
        <v>23</v>
      </c>
      <c r="I70" s="19">
        <v>53540</v>
      </c>
      <c r="J70" s="5" t="s">
        <v>29</v>
      </c>
    </row>
    <row r="71" spans="1:10" x14ac:dyDescent="0.25">
      <c r="A71" s="15" t="s">
        <v>174</v>
      </c>
      <c r="B71" s="6" t="s">
        <v>11</v>
      </c>
      <c r="C71" s="16">
        <v>45165</v>
      </c>
      <c r="D71" s="5" t="s">
        <v>175</v>
      </c>
      <c r="E71" s="7" t="s">
        <v>74</v>
      </c>
      <c r="F71" s="5" t="s">
        <v>46</v>
      </c>
      <c r="G71" s="5" t="s">
        <v>23</v>
      </c>
      <c r="H71" s="5" t="s">
        <v>176</v>
      </c>
      <c r="I71" s="19">
        <v>40292</v>
      </c>
      <c r="J71" s="5" t="s">
        <v>17</v>
      </c>
    </row>
    <row r="72" spans="1:10" x14ac:dyDescent="0.25">
      <c r="A72" s="15" t="s">
        <v>43</v>
      </c>
      <c r="B72" s="6" t="s">
        <v>11</v>
      </c>
      <c r="C72" s="16">
        <v>45185</v>
      </c>
      <c r="D72" s="5" t="s">
        <v>44</v>
      </c>
      <c r="E72" s="7" t="s">
        <v>177</v>
      </c>
      <c r="F72" s="5" t="s">
        <v>21</v>
      </c>
      <c r="G72" s="5" t="s">
        <v>178</v>
      </c>
      <c r="H72" s="5" t="s">
        <v>179</v>
      </c>
      <c r="I72" s="19">
        <v>35850</v>
      </c>
      <c r="J72" s="5" t="s">
        <v>29</v>
      </c>
    </row>
    <row r="73" spans="1:10" x14ac:dyDescent="0.25">
      <c r="A73" s="6" t="s">
        <v>117</v>
      </c>
      <c r="B73" s="6" t="s">
        <v>11</v>
      </c>
      <c r="C73" s="13">
        <v>45190</v>
      </c>
      <c r="D73" s="5" t="s">
        <v>38</v>
      </c>
      <c r="E73" s="7" t="s">
        <v>180</v>
      </c>
      <c r="F73" s="5" t="s">
        <v>21</v>
      </c>
      <c r="G73" s="5" t="s">
        <v>181</v>
      </c>
      <c r="H73" s="5" t="s">
        <v>182</v>
      </c>
      <c r="I73" s="3">
        <v>20321</v>
      </c>
      <c r="J73" s="5" t="s">
        <v>29</v>
      </c>
    </row>
    <row r="74" spans="1:10" x14ac:dyDescent="0.25">
      <c r="A74" s="15" t="s">
        <v>183</v>
      </c>
      <c r="B74" s="6" t="s">
        <v>11</v>
      </c>
      <c r="C74" s="16">
        <v>45206</v>
      </c>
      <c r="D74" s="5" t="s">
        <v>38</v>
      </c>
      <c r="E74" s="7" t="s">
        <v>68</v>
      </c>
      <c r="F74" s="5" t="s">
        <v>14</v>
      </c>
      <c r="G74" s="5" t="s">
        <v>23</v>
      </c>
      <c r="H74" s="5" t="s">
        <v>23</v>
      </c>
      <c r="I74" s="19">
        <v>20690</v>
      </c>
      <c r="J74" s="5" t="s">
        <v>29</v>
      </c>
    </row>
    <row r="75" spans="1:10" x14ac:dyDescent="0.25">
      <c r="A75" s="15" t="s">
        <v>105</v>
      </c>
      <c r="B75" s="6" t="s">
        <v>11</v>
      </c>
      <c r="C75" s="16">
        <v>45217</v>
      </c>
      <c r="D75" s="5" t="s">
        <v>38</v>
      </c>
      <c r="E75" s="7" t="s">
        <v>32</v>
      </c>
      <c r="F75" s="5" t="s">
        <v>21</v>
      </c>
      <c r="G75" s="5" t="s">
        <v>184</v>
      </c>
      <c r="H75" s="5" t="s">
        <v>23</v>
      </c>
      <c r="I75" s="19">
        <v>20255</v>
      </c>
      <c r="J75" s="5" t="s">
        <v>29</v>
      </c>
    </row>
    <row r="76" spans="1:10" x14ac:dyDescent="0.25">
      <c r="A76" s="6" t="s">
        <v>30</v>
      </c>
      <c r="B76" s="6" t="s">
        <v>11</v>
      </c>
      <c r="C76" s="16">
        <v>45221</v>
      </c>
      <c r="D76" s="5" t="s">
        <v>25</v>
      </c>
      <c r="E76" s="7" t="s">
        <v>74</v>
      </c>
      <c r="F76" s="5" t="s">
        <v>46</v>
      </c>
      <c r="G76" s="5" t="s">
        <v>23</v>
      </c>
      <c r="H76" s="5" t="s">
        <v>185</v>
      </c>
      <c r="I76" s="19">
        <v>69473</v>
      </c>
      <c r="J76" s="5" t="s">
        <v>17</v>
      </c>
    </row>
    <row r="77" spans="1:10" x14ac:dyDescent="0.25">
      <c r="A77" s="15" t="s">
        <v>186</v>
      </c>
      <c r="B77" s="6" t="s">
        <v>11</v>
      </c>
      <c r="C77" s="16">
        <v>45225</v>
      </c>
      <c r="D77" s="5" t="s">
        <v>38</v>
      </c>
      <c r="E77" s="7" t="s">
        <v>80</v>
      </c>
      <c r="F77" s="5" t="s">
        <v>46</v>
      </c>
      <c r="G77" s="5" t="s">
        <v>187</v>
      </c>
      <c r="H77" s="5" t="s">
        <v>188</v>
      </c>
      <c r="I77" s="19">
        <v>20098</v>
      </c>
      <c r="J77" s="5" t="s">
        <v>29</v>
      </c>
    </row>
    <row r="78" spans="1:10" x14ac:dyDescent="0.25">
      <c r="A78" s="6" t="s">
        <v>63</v>
      </c>
      <c r="B78" s="6" t="s">
        <v>11</v>
      </c>
      <c r="C78" s="16">
        <v>45236</v>
      </c>
      <c r="D78" s="17" t="s">
        <v>38</v>
      </c>
      <c r="E78" s="7" t="s">
        <v>32</v>
      </c>
      <c r="F78" s="5" t="s">
        <v>21</v>
      </c>
      <c r="G78" s="5" t="s">
        <v>189</v>
      </c>
      <c r="H78" s="5" t="s">
        <v>23</v>
      </c>
      <c r="I78" s="19">
        <v>21043</v>
      </c>
      <c r="J78" s="5" t="s">
        <v>29</v>
      </c>
    </row>
    <row r="79" spans="1:10" x14ac:dyDescent="0.25">
      <c r="A79" s="15" t="s">
        <v>190</v>
      </c>
      <c r="B79" s="6" t="s">
        <v>11</v>
      </c>
      <c r="C79" s="16">
        <v>45242</v>
      </c>
      <c r="D79" s="5" t="s">
        <v>38</v>
      </c>
      <c r="E79" s="7" t="s">
        <v>77</v>
      </c>
      <c r="F79" s="5" t="s">
        <v>21</v>
      </c>
      <c r="G79" s="5" t="s">
        <v>191</v>
      </c>
      <c r="H79" s="5" t="s">
        <v>192</v>
      </c>
      <c r="I79" s="19">
        <v>19478</v>
      </c>
      <c r="J79" s="5" t="s">
        <v>29</v>
      </c>
    </row>
    <row r="80" spans="1:10" x14ac:dyDescent="0.25">
      <c r="A80" s="15" t="s">
        <v>193</v>
      </c>
      <c r="B80" s="6" t="s">
        <v>11</v>
      </c>
      <c r="C80" s="16">
        <v>45258</v>
      </c>
      <c r="D80" s="5" t="s">
        <v>38</v>
      </c>
      <c r="E80" s="7" t="s">
        <v>194</v>
      </c>
      <c r="F80" s="5" t="s">
        <v>46</v>
      </c>
      <c r="G80" s="5" t="s">
        <v>195</v>
      </c>
      <c r="H80" s="5" t="s">
        <v>196</v>
      </c>
      <c r="I80" s="19">
        <v>20577</v>
      </c>
      <c r="J80" s="5" t="s">
        <v>29</v>
      </c>
    </row>
    <row r="81" spans="1:10" x14ac:dyDescent="0.25">
      <c r="A81" s="15" t="s">
        <v>197</v>
      </c>
      <c r="B81" s="6" t="s">
        <v>11</v>
      </c>
      <c r="C81" s="16">
        <v>45266</v>
      </c>
      <c r="D81" s="5" t="s">
        <v>38</v>
      </c>
      <c r="E81" s="7" t="s">
        <v>77</v>
      </c>
      <c r="F81" s="5" t="s">
        <v>21</v>
      </c>
      <c r="G81" s="5" t="s">
        <v>198</v>
      </c>
      <c r="H81" s="5" t="s">
        <v>199</v>
      </c>
      <c r="I81" s="19">
        <v>20037</v>
      </c>
      <c r="J81" s="5" t="s">
        <v>29</v>
      </c>
    </row>
    <row r="82" spans="1:10" x14ac:dyDescent="0.25">
      <c r="A82" s="15" t="s">
        <v>152</v>
      </c>
      <c r="B82" s="6" t="s">
        <v>31</v>
      </c>
      <c r="C82" s="16">
        <v>45302</v>
      </c>
      <c r="D82" s="5" t="s">
        <v>38</v>
      </c>
      <c r="E82" s="7" t="s">
        <v>20</v>
      </c>
      <c r="F82" s="5" t="s">
        <v>21</v>
      </c>
      <c r="G82" s="5" t="s">
        <v>200</v>
      </c>
      <c r="H82" s="5" t="s">
        <v>23</v>
      </c>
      <c r="I82" s="19">
        <v>12913</v>
      </c>
      <c r="J82" s="5" t="s">
        <v>29</v>
      </c>
    </row>
    <row r="83" spans="1:10" x14ac:dyDescent="0.25">
      <c r="A83" s="15" t="s">
        <v>120</v>
      </c>
      <c r="B83" s="6" t="s">
        <v>31</v>
      </c>
      <c r="C83" s="16">
        <v>45309</v>
      </c>
      <c r="D83" s="5" t="s">
        <v>38</v>
      </c>
      <c r="E83" s="7" t="s">
        <v>20</v>
      </c>
      <c r="F83" s="5" t="s">
        <v>21</v>
      </c>
      <c r="G83" s="5" t="s">
        <v>201</v>
      </c>
      <c r="H83" s="5" t="s">
        <v>23</v>
      </c>
      <c r="I83" s="19">
        <v>13848</v>
      </c>
      <c r="J83" s="5" t="s">
        <v>29</v>
      </c>
    </row>
    <row r="84" spans="1:10" x14ac:dyDescent="0.25">
      <c r="A84" s="15" t="s">
        <v>30</v>
      </c>
      <c r="B84" s="6" t="s">
        <v>31</v>
      </c>
      <c r="C84" s="16">
        <v>45326</v>
      </c>
      <c r="D84" s="5" t="s">
        <v>25</v>
      </c>
      <c r="E84" s="7" t="s">
        <v>68</v>
      </c>
      <c r="F84" s="5" t="s">
        <v>14</v>
      </c>
      <c r="G84" s="5" t="s">
        <v>23</v>
      </c>
      <c r="H84" s="5" t="s">
        <v>23</v>
      </c>
      <c r="I84" s="19">
        <v>56318</v>
      </c>
      <c r="J84" s="5" t="s">
        <v>29</v>
      </c>
    </row>
    <row r="85" spans="1:10" x14ac:dyDescent="0.25">
      <c r="A85" s="6" t="s">
        <v>43</v>
      </c>
      <c r="B85" s="6" t="s">
        <v>31</v>
      </c>
      <c r="C85" s="16">
        <v>45339</v>
      </c>
      <c r="D85" s="5" t="s">
        <v>25</v>
      </c>
      <c r="E85" s="7" t="s">
        <v>68</v>
      </c>
      <c r="F85" s="5" t="s">
        <v>14</v>
      </c>
      <c r="G85" s="5" t="s">
        <v>23</v>
      </c>
      <c r="H85" s="5" t="s">
        <v>23</v>
      </c>
      <c r="I85" s="19">
        <v>46860</v>
      </c>
      <c r="J85" s="5" t="s">
        <v>29</v>
      </c>
    </row>
    <row r="86" spans="1:10" x14ac:dyDescent="0.25">
      <c r="A86" s="15" t="s">
        <v>202</v>
      </c>
      <c r="B86" s="6" t="s">
        <v>85</v>
      </c>
      <c r="C86" s="16">
        <v>45358</v>
      </c>
      <c r="D86" s="5" t="s">
        <v>38</v>
      </c>
      <c r="E86" s="7" t="s">
        <v>203</v>
      </c>
      <c r="F86" s="5" t="s">
        <v>14</v>
      </c>
      <c r="G86" s="5" t="s">
        <v>204</v>
      </c>
      <c r="H86" s="5" t="s">
        <v>205</v>
      </c>
      <c r="I86" s="19">
        <v>17771</v>
      </c>
      <c r="J86" s="5" t="s">
        <v>29</v>
      </c>
    </row>
    <row r="87" spans="1:10" x14ac:dyDescent="0.25">
      <c r="A87" s="15" t="s">
        <v>206</v>
      </c>
      <c r="B87" s="6" t="s">
        <v>31</v>
      </c>
      <c r="C87" s="16">
        <v>45361</v>
      </c>
      <c r="D87" s="5" t="s">
        <v>25</v>
      </c>
      <c r="E87" s="7" t="s">
        <v>13</v>
      </c>
      <c r="F87" s="5" t="s">
        <v>14</v>
      </c>
      <c r="G87" s="5" t="s">
        <v>207</v>
      </c>
      <c r="H87" s="5" t="s">
        <v>208</v>
      </c>
      <c r="I87" s="19">
        <v>61425</v>
      </c>
      <c r="J87" s="5" t="s">
        <v>29</v>
      </c>
    </row>
    <row r="88" spans="1:10" x14ac:dyDescent="0.25">
      <c r="A88" s="15" t="s">
        <v>206</v>
      </c>
      <c r="B88" s="6" t="s">
        <v>31</v>
      </c>
      <c r="C88" s="16">
        <v>45368</v>
      </c>
      <c r="D88" s="5" t="s">
        <v>25</v>
      </c>
      <c r="E88" s="7" t="s">
        <v>150</v>
      </c>
      <c r="F88" s="5" t="s">
        <v>46</v>
      </c>
      <c r="G88" s="5" t="s">
        <v>23</v>
      </c>
      <c r="H88" s="5" t="s">
        <v>209</v>
      </c>
      <c r="I88" s="19">
        <v>60429</v>
      </c>
      <c r="J88" s="5" t="s">
        <v>17</v>
      </c>
    </row>
    <row r="89" spans="1:10" x14ac:dyDescent="0.25">
      <c r="A89" s="15" t="s">
        <v>43</v>
      </c>
      <c r="B89" s="6" t="s">
        <v>11</v>
      </c>
      <c r="C89" s="16">
        <v>45402</v>
      </c>
      <c r="D89" s="5" t="s">
        <v>25</v>
      </c>
      <c r="E89" s="7" t="s">
        <v>80</v>
      </c>
      <c r="F89" s="5" t="s">
        <v>46</v>
      </c>
      <c r="G89" s="5" t="s">
        <v>210</v>
      </c>
      <c r="H89" s="5" t="s">
        <v>211</v>
      </c>
      <c r="I89" s="19">
        <v>25842</v>
      </c>
      <c r="J89" s="5" t="s">
        <v>17</v>
      </c>
    </row>
    <row r="90" spans="1:10" x14ac:dyDescent="0.25">
      <c r="A90" s="15" t="s">
        <v>212</v>
      </c>
      <c r="B90" s="6" t="s">
        <v>11</v>
      </c>
      <c r="C90" s="16">
        <v>45409</v>
      </c>
      <c r="D90" s="5" t="s">
        <v>38</v>
      </c>
      <c r="E90" s="7" t="s">
        <v>213</v>
      </c>
      <c r="F90" s="5" t="s">
        <v>46</v>
      </c>
      <c r="G90" s="5" t="s">
        <v>23</v>
      </c>
      <c r="H90" s="5" t="s">
        <v>214</v>
      </c>
      <c r="I90" s="19">
        <v>17124</v>
      </c>
      <c r="J90" s="5" t="s">
        <v>29</v>
      </c>
    </row>
    <row r="91" spans="1:10" x14ac:dyDescent="0.25">
      <c r="A91" s="15" t="s">
        <v>215</v>
      </c>
      <c r="B91" s="6" t="s">
        <v>11</v>
      </c>
      <c r="C91" s="13">
        <v>45424</v>
      </c>
      <c r="D91" s="5" t="s">
        <v>38</v>
      </c>
      <c r="E91" s="7" t="s">
        <v>77</v>
      </c>
      <c r="F91" s="5" t="s">
        <v>21</v>
      </c>
      <c r="G91" s="5" t="s">
        <v>216</v>
      </c>
      <c r="H91" s="5" t="s">
        <v>217</v>
      </c>
      <c r="I91" s="19">
        <v>11094</v>
      </c>
      <c r="J91" s="5" t="s">
        <v>29</v>
      </c>
    </row>
    <row r="92" spans="1:10" x14ac:dyDescent="0.25">
      <c r="A92" s="15" t="s">
        <v>30</v>
      </c>
      <c r="B92" s="6" t="s">
        <v>11</v>
      </c>
      <c r="C92" s="16">
        <v>45445</v>
      </c>
      <c r="D92" s="5" t="s">
        <v>25</v>
      </c>
      <c r="E92" s="7" t="s">
        <v>218</v>
      </c>
      <c r="F92" s="5" t="s">
        <v>46</v>
      </c>
      <c r="G92" s="5" t="s">
        <v>210</v>
      </c>
      <c r="H92" s="5" t="s">
        <v>219</v>
      </c>
      <c r="I92" s="19">
        <v>62228</v>
      </c>
      <c r="J92" s="5" t="s">
        <v>29</v>
      </c>
    </row>
    <row r="93" spans="1:10" x14ac:dyDescent="0.25">
      <c r="A93" s="15" t="s">
        <v>105</v>
      </c>
      <c r="B93" s="6" t="s">
        <v>11</v>
      </c>
      <c r="C93" s="16">
        <v>45476</v>
      </c>
      <c r="D93" s="5" t="s">
        <v>38</v>
      </c>
      <c r="E93" s="7" t="s">
        <v>35</v>
      </c>
      <c r="F93" s="5" t="s">
        <v>21</v>
      </c>
      <c r="G93" s="5" t="s">
        <v>220</v>
      </c>
      <c r="H93" s="5" t="s">
        <v>23</v>
      </c>
      <c r="I93" s="19">
        <v>14384</v>
      </c>
      <c r="J93" s="5" t="s">
        <v>29</v>
      </c>
    </row>
    <row r="94" spans="1:10" x14ac:dyDescent="0.25">
      <c r="A94" s="6" t="s">
        <v>193</v>
      </c>
      <c r="B94" s="6" t="s">
        <v>11</v>
      </c>
      <c r="C94" s="16">
        <v>45483</v>
      </c>
      <c r="D94" s="5" t="s">
        <v>38</v>
      </c>
      <c r="E94" s="7" t="s">
        <v>20</v>
      </c>
      <c r="F94" s="5" t="s">
        <v>21</v>
      </c>
      <c r="G94" s="5" t="s">
        <v>221</v>
      </c>
      <c r="H94" s="5" t="s">
        <v>23</v>
      </c>
      <c r="I94" s="19">
        <v>18421</v>
      </c>
      <c r="J94" s="5" t="s">
        <v>29</v>
      </c>
    </row>
    <row r="95" spans="1:10" x14ac:dyDescent="0.25">
      <c r="A95" s="15" t="s">
        <v>197</v>
      </c>
      <c r="B95" s="6" t="s">
        <v>11</v>
      </c>
      <c r="C95" s="16">
        <v>45507</v>
      </c>
      <c r="D95" s="5" t="s">
        <v>38</v>
      </c>
      <c r="E95" s="7" t="s">
        <v>51</v>
      </c>
      <c r="F95" s="5" t="s">
        <v>14</v>
      </c>
      <c r="G95" s="5" t="s">
        <v>222</v>
      </c>
      <c r="H95" s="5" t="s">
        <v>223</v>
      </c>
      <c r="I95" s="19">
        <v>17938</v>
      </c>
      <c r="J95" s="5" t="s">
        <v>29</v>
      </c>
    </row>
    <row r="96" spans="1:10" x14ac:dyDescent="0.25">
      <c r="A96" s="15" t="s">
        <v>58</v>
      </c>
      <c r="B96" s="6" t="s">
        <v>85</v>
      </c>
      <c r="C96" s="16">
        <v>45510</v>
      </c>
      <c r="D96" s="5" t="s">
        <v>38</v>
      </c>
      <c r="E96" s="7" t="s">
        <v>32</v>
      </c>
      <c r="F96" s="5" t="s">
        <v>21</v>
      </c>
      <c r="G96" s="5" t="s">
        <v>207</v>
      </c>
      <c r="H96" s="5" t="s">
        <v>23</v>
      </c>
      <c r="I96" s="19">
        <v>17608</v>
      </c>
      <c r="J96" s="5" t="s">
        <v>29</v>
      </c>
    </row>
    <row r="97" spans="1:10" x14ac:dyDescent="0.25">
      <c r="A97" s="15" t="s">
        <v>43</v>
      </c>
      <c r="B97" s="6" t="s">
        <v>11</v>
      </c>
      <c r="C97" s="16">
        <v>45514</v>
      </c>
      <c r="D97" s="5" t="s">
        <v>44</v>
      </c>
      <c r="E97" s="7" t="s">
        <v>20</v>
      </c>
      <c r="F97" s="5" t="s">
        <v>21</v>
      </c>
      <c r="G97" s="5" t="s">
        <v>224</v>
      </c>
      <c r="H97" s="5" t="s">
        <v>23</v>
      </c>
      <c r="I97" s="19">
        <v>20003</v>
      </c>
      <c r="J97" s="5" t="s">
        <v>29</v>
      </c>
    </row>
    <row r="98" spans="1:10" x14ac:dyDescent="0.25">
      <c r="A98" s="37" t="s">
        <v>34</v>
      </c>
      <c r="B98" s="6" t="s">
        <v>11</v>
      </c>
      <c r="C98" s="16">
        <v>45530</v>
      </c>
      <c r="D98" s="5" t="s">
        <v>38</v>
      </c>
      <c r="E98" s="7" t="s">
        <v>26</v>
      </c>
      <c r="F98" s="5" t="s">
        <v>21</v>
      </c>
      <c r="G98" s="5" t="s">
        <v>225</v>
      </c>
      <c r="H98" s="5" t="s">
        <v>226</v>
      </c>
      <c r="I98" s="19">
        <v>16775</v>
      </c>
      <c r="J98" s="5" t="s">
        <v>29</v>
      </c>
    </row>
    <row r="99" spans="1:10" x14ac:dyDescent="0.25">
      <c r="A99" s="15" t="s">
        <v>34</v>
      </c>
      <c r="B99" s="6" t="s">
        <v>85</v>
      </c>
      <c r="C99" s="16">
        <v>45533</v>
      </c>
      <c r="D99" s="5" t="s">
        <v>38</v>
      </c>
      <c r="E99" s="7" t="s">
        <v>77</v>
      </c>
      <c r="F99" s="5" t="s">
        <v>21</v>
      </c>
      <c r="G99" s="5" t="s">
        <v>227</v>
      </c>
      <c r="H99" s="5" t="s">
        <v>228</v>
      </c>
      <c r="I99" s="19">
        <v>18068</v>
      </c>
      <c r="J99" s="5" t="s">
        <v>29</v>
      </c>
    </row>
    <row r="100" spans="1:10" x14ac:dyDescent="0.25">
      <c r="A100" s="37" t="s">
        <v>229</v>
      </c>
      <c r="B100" s="6" t="s">
        <v>11</v>
      </c>
      <c r="C100" s="16">
        <v>45570</v>
      </c>
      <c r="D100" s="5" t="s">
        <v>38</v>
      </c>
      <c r="E100" s="7" t="s">
        <v>13</v>
      </c>
      <c r="F100" s="5" t="s">
        <v>14</v>
      </c>
      <c r="G100" s="5" t="s">
        <v>184</v>
      </c>
      <c r="H100" s="5" t="s">
        <v>230</v>
      </c>
      <c r="I100" s="19">
        <v>18036</v>
      </c>
      <c r="J100" s="5" t="s">
        <v>29</v>
      </c>
    </row>
    <row r="101" spans="1:10" x14ac:dyDescent="0.25">
      <c r="A101" s="6" t="s">
        <v>231</v>
      </c>
      <c r="B101" s="6" t="s">
        <v>11</v>
      </c>
      <c r="C101" s="16">
        <v>45589</v>
      </c>
      <c r="D101" s="5" t="s">
        <v>38</v>
      </c>
      <c r="E101" s="7" t="s">
        <v>32</v>
      </c>
      <c r="F101" s="5" t="s">
        <v>21</v>
      </c>
      <c r="G101" s="5" t="s">
        <v>232</v>
      </c>
      <c r="H101" s="5" t="s">
        <v>23</v>
      </c>
      <c r="I101" s="19">
        <v>16696</v>
      </c>
      <c r="J101" s="5" t="s">
        <v>29</v>
      </c>
    </row>
    <row r="102" spans="1:10" x14ac:dyDescent="0.25">
      <c r="A102" s="15" t="s">
        <v>55</v>
      </c>
      <c r="B102" s="6" t="s">
        <v>11</v>
      </c>
      <c r="C102" s="16">
        <v>45593</v>
      </c>
      <c r="D102" s="5" t="s">
        <v>38</v>
      </c>
      <c r="E102" s="7" t="s">
        <v>69</v>
      </c>
      <c r="F102" s="5" t="s">
        <v>21</v>
      </c>
      <c r="G102" s="5" t="s">
        <v>233</v>
      </c>
      <c r="H102" s="5" t="s">
        <v>234</v>
      </c>
      <c r="I102" s="19">
        <v>17213</v>
      </c>
      <c r="J102" s="5" t="s">
        <v>29</v>
      </c>
    </row>
    <row r="103" spans="1:10" x14ac:dyDescent="0.25">
      <c r="A103" s="6" t="s">
        <v>186</v>
      </c>
      <c r="B103" s="6" t="s">
        <v>11</v>
      </c>
      <c r="C103" s="16">
        <v>45617</v>
      </c>
      <c r="D103" s="5" t="s">
        <v>38</v>
      </c>
      <c r="E103" s="7" t="s">
        <v>74</v>
      </c>
      <c r="F103" s="5" t="s">
        <v>46</v>
      </c>
      <c r="G103" s="5" t="s">
        <v>23</v>
      </c>
      <c r="H103" s="5" t="s">
        <v>235</v>
      </c>
      <c r="I103" s="19">
        <v>17339</v>
      </c>
      <c r="J103" s="5" t="s">
        <v>29</v>
      </c>
    </row>
    <row r="104" spans="1:10" x14ac:dyDescent="0.25">
      <c r="A104" s="6" t="s">
        <v>236</v>
      </c>
      <c r="B104" s="6" t="s">
        <v>11</v>
      </c>
      <c r="C104" s="16">
        <v>45630</v>
      </c>
      <c r="D104" s="5" t="s">
        <v>38</v>
      </c>
      <c r="E104" s="7" t="s">
        <v>20</v>
      </c>
      <c r="F104" s="5" t="s">
        <v>21</v>
      </c>
      <c r="G104" s="5" t="s">
        <v>237</v>
      </c>
      <c r="H104" s="5" t="s">
        <v>23</v>
      </c>
      <c r="I104" s="19">
        <v>17074</v>
      </c>
      <c r="J104" s="5" t="s">
        <v>29</v>
      </c>
    </row>
    <row r="105" spans="1:10" x14ac:dyDescent="0.25">
      <c r="A105" s="41" t="s">
        <v>238</v>
      </c>
      <c r="B105" s="37" t="s">
        <v>31</v>
      </c>
      <c r="C105" s="36">
        <v>45687</v>
      </c>
      <c r="D105" s="38" t="s">
        <v>38</v>
      </c>
      <c r="E105" s="39" t="s">
        <v>32</v>
      </c>
      <c r="F105" s="5" t="s">
        <v>21</v>
      </c>
      <c r="G105" s="38" t="s">
        <v>189</v>
      </c>
      <c r="H105" s="38" t="s">
        <v>23</v>
      </c>
      <c r="I105" s="45">
        <v>13893</v>
      </c>
      <c r="J105" s="38" t="s">
        <v>17</v>
      </c>
    </row>
    <row r="106" spans="1:10" x14ac:dyDescent="0.25">
      <c r="A106" s="41" t="s">
        <v>37</v>
      </c>
      <c r="B106" s="41" t="s">
        <v>11</v>
      </c>
      <c r="C106" s="42">
        <v>45746</v>
      </c>
      <c r="D106" s="38" t="s">
        <v>38</v>
      </c>
      <c r="E106" s="39" t="s">
        <v>26</v>
      </c>
      <c r="F106" s="5" t="s">
        <v>21</v>
      </c>
      <c r="G106" s="38" t="s">
        <v>239</v>
      </c>
      <c r="H106" s="38" t="s">
        <v>240</v>
      </c>
      <c r="I106" s="45">
        <v>19550</v>
      </c>
      <c r="J106" s="38" t="s">
        <v>29</v>
      </c>
    </row>
    <row r="107" spans="1:10" x14ac:dyDescent="0.25">
      <c r="A107" s="41" t="s">
        <v>241</v>
      </c>
      <c r="B107" s="41" t="s">
        <v>114</v>
      </c>
      <c r="C107" s="42">
        <v>45755</v>
      </c>
      <c r="D107" s="38" t="s">
        <v>38</v>
      </c>
      <c r="E107" s="39" t="s">
        <v>32</v>
      </c>
      <c r="F107" s="5" t="s">
        <v>21</v>
      </c>
      <c r="G107" s="38" t="s">
        <v>210</v>
      </c>
      <c r="H107" s="38" t="s">
        <v>23</v>
      </c>
      <c r="I107" s="45">
        <v>17950</v>
      </c>
      <c r="J107" s="38" t="s">
        <v>29</v>
      </c>
    </row>
    <row r="108" spans="1:10" x14ac:dyDescent="0.25">
      <c r="A108" s="41" t="s">
        <v>242</v>
      </c>
      <c r="B108" s="41" t="s">
        <v>114</v>
      </c>
      <c r="C108" s="42">
        <v>45769</v>
      </c>
      <c r="D108" s="43" t="s">
        <v>38</v>
      </c>
      <c r="E108" s="44" t="s">
        <v>243</v>
      </c>
      <c r="F108" s="43" t="s">
        <v>244</v>
      </c>
      <c r="G108" s="43" t="s">
        <v>23</v>
      </c>
      <c r="H108" s="43" t="s">
        <v>23</v>
      </c>
      <c r="I108" s="45">
        <v>19291</v>
      </c>
      <c r="J108" s="43" t="s">
        <v>29</v>
      </c>
    </row>
    <row r="109" spans="1:10" x14ac:dyDescent="0.25">
      <c r="A109" s="41" t="s">
        <v>245</v>
      </c>
      <c r="B109" s="41" t="s">
        <v>85</v>
      </c>
      <c r="C109" s="42">
        <v>45799</v>
      </c>
      <c r="D109" s="43" t="s">
        <v>38</v>
      </c>
      <c r="E109" s="44" t="s">
        <v>13</v>
      </c>
      <c r="F109" s="43" t="s">
        <v>14</v>
      </c>
      <c r="G109" s="43" t="s">
        <v>246</v>
      </c>
      <c r="H109" s="43" t="s">
        <v>247</v>
      </c>
      <c r="I109" s="45">
        <v>17499</v>
      </c>
      <c r="J109" s="43" t="s">
        <v>29</v>
      </c>
    </row>
    <row r="110" spans="1:10" x14ac:dyDescent="0.25">
      <c r="A110" s="41" t="s">
        <v>248</v>
      </c>
      <c r="B110" s="41" t="s">
        <v>114</v>
      </c>
      <c r="C110" s="42">
        <v>45860</v>
      </c>
      <c r="D110" s="43" t="s">
        <v>38</v>
      </c>
      <c r="E110" s="44" t="s">
        <v>249</v>
      </c>
      <c r="F110" s="43" t="s">
        <v>14</v>
      </c>
      <c r="G110" s="43" t="s">
        <v>210</v>
      </c>
      <c r="H110" s="43" t="s">
        <v>250</v>
      </c>
      <c r="I110" s="45">
        <v>9476</v>
      </c>
      <c r="J110" s="43" t="s">
        <v>29</v>
      </c>
    </row>
    <row r="111" spans="1:10" x14ac:dyDescent="0.25">
      <c r="A111" s="41" t="s">
        <v>197</v>
      </c>
      <c r="B111" s="37" t="s">
        <v>11</v>
      </c>
      <c r="C111" s="42">
        <v>45808</v>
      </c>
      <c r="D111" s="38" t="s">
        <v>38</v>
      </c>
      <c r="E111" s="39" t="s">
        <v>150</v>
      </c>
      <c r="F111" s="38" t="s">
        <v>46</v>
      </c>
      <c r="G111" s="38" t="s">
        <v>23</v>
      </c>
      <c r="H111" s="38" t="s">
        <v>343</v>
      </c>
      <c r="I111" s="45">
        <v>14495</v>
      </c>
      <c r="J111" s="38" t="s">
        <v>29</v>
      </c>
    </row>
    <row r="112" spans="1:10" x14ac:dyDescent="0.25">
      <c r="A112" s="41" t="s">
        <v>63</v>
      </c>
      <c r="B112" s="37" t="s">
        <v>85</v>
      </c>
      <c r="C112" s="42">
        <v>45896</v>
      </c>
      <c r="D112" s="38" t="s">
        <v>38</v>
      </c>
      <c r="E112" s="39" t="s">
        <v>13</v>
      </c>
      <c r="F112" s="38" t="s">
        <v>14</v>
      </c>
      <c r="G112" s="38" t="s">
        <v>169</v>
      </c>
      <c r="H112" s="38" t="s">
        <v>344</v>
      </c>
      <c r="I112" s="45">
        <v>20358</v>
      </c>
      <c r="J112" s="38" t="s">
        <v>29</v>
      </c>
    </row>
  </sheetData>
  <phoneticPr fontId="2" type="noConversion"/>
  <conditionalFormatting sqref="A88">
    <cfRule type="expression" dxfId="57" priority="5">
      <formula>MOD(ROW(),2)=0</formula>
    </cfRule>
  </conditionalFormatting>
  <conditionalFormatting sqref="A99">
    <cfRule type="expression" dxfId="56" priority="4">
      <formula>MOD(ROW(),2)=0</formula>
    </cfRule>
  </conditionalFormatting>
  <conditionalFormatting sqref="A1:J112">
    <cfRule type="expression" dxfId="2" priority="6">
      <formula>MOD(ROW(),2)=0</formula>
    </cfRule>
  </conditionalFormatting>
  <conditionalFormatting sqref="B106">
    <cfRule type="expression" dxfId="55" priority="3">
      <formula>MOD(ROW(),2)=0</formula>
    </cfRule>
  </conditionalFormatting>
  <conditionalFormatting sqref="B107">
    <cfRule type="expression" dxfId="54" priority="2">
      <formula>MOD(ROW(),2)=0</formula>
    </cfRule>
  </conditionalFormatting>
  <conditionalFormatting sqref="C106:C108">
    <cfRule type="expression" dxfId="53" priority="1">
      <formula>MOD(ROW(),2)=0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67AD-04E0-4683-A5D7-8B4AE126D543}">
  <dimension ref="A3:B57"/>
  <sheetViews>
    <sheetView workbookViewId="0">
      <selection activeCell="S12" sqref="S12"/>
    </sheetView>
  </sheetViews>
  <sheetFormatPr defaultRowHeight="15" x14ac:dyDescent="0.25"/>
  <cols>
    <col min="1" max="1" width="24.7109375" bestFit="1" customWidth="1"/>
    <col min="2" max="2" width="18.42578125" bestFit="1" customWidth="1"/>
    <col min="3" max="3" width="18.5703125" bestFit="1" customWidth="1"/>
    <col min="4" max="4" width="9.7109375" bestFit="1" customWidth="1"/>
    <col min="5" max="5" width="12.85546875" bestFit="1" customWidth="1"/>
    <col min="6" max="6" width="14" bestFit="1" customWidth="1"/>
    <col min="7" max="7" width="9.5703125" bestFit="1" customWidth="1"/>
    <col min="8" max="8" width="12" bestFit="1" customWidth="1"/>
    <col min="9" max="9" width="11.85546875" bestFit="1" customWidth="1"/>
    <col min="10" max="10" width="10.7109375" bestFit="1" customWidth="1"/>
    <col min="11" max="14" width="4" bestFit="1" customWidth="1"/>
    <col min="15" max="15" width="10.7109375" bestFit="1" customWidth="1"/>
    <col min="16" max="21" width="4" bestFit="1" customWidth="1"/>
    <col min="22" max="22" width="11.85546875" bestFit="1" customWidth="1"/>
    <col min="23" max="23" width="10.7109375" bestFit="1" customWidth="1"/>
    <col min="24" max="24" width="17.7109375" bestFit="1" customWidth="1"/>
    <col min="25" max="25" width="15" bestFit="1" customWidth="1"/>
    <col min="26" max="26" width="16" bestFit="1" customWidth="1"/>
    <col min="27" max="27" width="24.7109375" bestFit="1" customWidth="1"/>
    <col min="28" max="28" width="14.140625" bestFit="1" customWidth="1"/>
    <col min="29" max="29" width="18.7109375" bestFit="1" customWidth="1"/>
    <col min="30" max="30" width="18.28515625" bestFit="1" customWidth="1"/>
    <col min="31" max="31" width="22.28515625" bestFit="1" customWidth="1"/>
    <col min="32" max="32" width="14" bestFit="1" customWidth="1"/>
    <col min="33" max="33" width="16.7109375" bestFit="1" customWidth="1"/>
    <col min="34" max="34" width="12.7109375" bestFit="1" customWidth="1"/>
    <col min="35" max="35" width="16.5703125" bestFit="1" customWidth="1"/>
    <col min="36" max="36" width="21.42578125" bestFit="1" customWidth="1"/>
    <col min="37" max="37" width="10.7109375" bestFit="1" customWidth="1"/>
  </cols>
  <sheetData>
    <row r="3" spans="1:2" x14ac:dyDescent="0.25">
      <c r="A3" s="2" t="s">
        <v>251</v>
      </c>
      <c r="B3" t="s">
        <v>252</v>
      </c>
    </row>
    <row r="4" spans="1:2" x14ac:dyDescent="0.25">
      <c r="A4" s="21" t="s">
        <v>43</v>
      </c>
      <c r="B4" s="40">
        <v>13</v>
      </c>
    </row>
    <row r="5" spans="1:2" x14ac:dyDescent="0.25">
      <c r="A5" s="21" t="s">
        <v>30</v>
      </c>
      <c r="B5" s="40">
        <v>9</v>
      </c>
    </row>
    <row r="6" spans="1:2" x14ac:dyDescent="0.25">
      <c r="A6" s="21" t="s">
        <v>63</v>
      </c>
      <c r="B6" s="40">
        <v>6</v>
      </c>
    </row>
    <row r="7" spans="1:2" x14ac:dyDescent="0.25">
      <c r="A7" s="21" t="s">
        <v>34</v>
      </c>
      <c r="B7" s="40">
        <v>4</v>
      </c>
    </row>
    <row r="8" spans="1:2" x14ac:dyDescent="0.25">
      <c r="A8" s="21" t="s">
        <v>37</v>
      </c>
      <c r="B8" s="40">
        <v>4</v>
      </c>
    </row>
    <row r="9" spans="1:2" x14ac:dyDescent="0.25">
      <c r="A9" s="21" t="s">
        <v>91</v>
      </c>
      <c r="B9" s="40">
        <v>4</v>
      </c>
    </row>
    <row r="10" spans="1:2" x14ac:dyDescent="0.25">
      <c r="A10" s="21" t="s">
        <v>55</v>
      </c>
      <c r="B10" s="40">
        <v>3</v>
      </c>
    </row>
    <row r="11" spans="1:2" x14ac:dyDescent="0.25">
      <c r="A11" s="21" t="s">
        <v>105</v>
      </c>
      <c r="B11" s="40">
        <v>3</v>
      </c>
    </row>
    <row r="12" spans="1:2" x14ac:dyDescent="0.25">
      <c r="A12" s="21" t="s">
        <v>48</v>
      </c>
      <c r="B12" s="40">
        <v>3</v>
      </c>
    </row>
    <row r="13" spans="1:2" x14ac:dyDescent="0.25">
      <c r="A13" s="21" t="s">
        <v>162</v>
      </c>
      <c r="B13" s="40">
        <v>2</v>
      </c>
    </row>
    <row r="14" spans="1:2" x14ac:dyDescent="0.25">
      <c r="A14" s="21" t="s">
        <v>206</v>
      </c>
      <c r="B14" s="40">
        <v>2</v>
      </c>
    </row>
    <row r="15" spans="1:2" x14ac:dyDescent="0.25">
      <c r="A15" s="21" t="s">
        <v>193</v>
      </c>
      <c r="B15" s="40">
        <v>2</v>
      </c>
    </row>
    <row r="16" spans="1:2" x14ac:dyDescent="0.25">
      <c r="A16" s="21" t="s">
        <v>24</v>
      </c>
      <c r="B16" s="40">
        <v>2</v>
      </c>
    </row>
    <row r="17" spans="1:2" x14ac:dyDescent="0.25">
      <c r="A17" s="21" t="s">
        <v>152</v>
      </c>
      <c r="B17" s="40">
        <v>2</v>
      </c>
    </row>
    <row r="18" spans="1:2" x14ac:dyDescent="0.25">
      <c r="A18" s="21" t="s">
        <v>120</v>
      </c>
      <c r="B18" s="40">
        <v>2</v>
      </c>
    </row>
    <row r="19" spans="1:2" x14ac:dyDescent="0.25">
      <c r="A19" s="21" t="s">
        <v>186</v>
      </c>
      <c r="B19" s="40">
        <v>2</v>
      </c>
    </row>
    <row r="20" spans="1:2" x14ac:dyDescent="0.25">
      <c r="A20" s="21" t="s">
        <v>58</v>
      </c>
      <c r="B20" s="40">
        <v>2</v>
      </c>
    </row>
    <row r="21" spans="1:2" x14ac:dyDescent="0.25">
      <c r="A21" s="21" t="s">
        <v>197</v>
      </c>
      <c r="B21" s="40">
        <v>2</v>
      </c>
    </row>
    <row r="22" spans="1:2" x14ac:dyDescent="0.25">
      <c r="A22" s="21" t="s">
        <v>117</v>
      </c>
      <c r="B22" s="40">
        <v>2</v>
      </c>
    </row>
    <row r="23" spans="1:2" x14ac:dyDescent="0.25">
      <c r="A23" s="21" t="s">
        <v>109</v>
      </c>
      <c r="B23" s="40">
        <v>2</v>
      </c>
    </row>
    <row r="24" spans="1:2" x14ac:dyDescent="0.25">
      <c r="A24" s="21" t="s">
        <v>116</v>
      </c>
      <c r="B24" s="40">
        <v>2</v>
      </c>
    </row>
    <row r="25" spans="1:2" x14ac:dyDescent="0.25">
      <c r="A25" s="21" t="s">
        <v>18</v>
      </c>
      <c r="B25" s="40">
        <v>2</v>
      </c>
    </row>
    <row r="26" spans="1:2" x14ac:dyDescent="0.25">
      <c r="A26" s="21" t="s">
        <v>133</v>
      </c>
      <c r="B26" s="40">
        <v>1</v>
      </c>
    </row>
    <row r="27" spans="1:2" x14ac:dyDescent="0.25">
      <c r="A27" s="21" t="s">
        <v>212</v>
      </c>
      <c r="B27" s="40">
        <v>1</v>
      </c>
    </row>
    <row r="28" spans="1:2" x14ac:dyDescent="0.25">
      <c r="A28" s="21" t="s">
        <v>141</v>
      </c>
      <c r="B28" s="40">
        <v>1</v>
      </c>
    </row>
    <row r="29" spans="1:2" x14ac:dyDescent="0.25">
      <c r="A29" s="21" t="s">
        <v>113</v>
      </c>
      <c r="B29" s="40">
        <v>1</v>
      </c>
    </row>
    <row r="30" spans="1:2" x14ac:dyDescent="0.25">
      <c r="A30" s="21" t="s">
        <v>231</v>
      </c>
      <c r="B30" s="40">
        <v>1</v>
      </c>
    </row>
    <row r="31" spans="1:2" x14ac:dyDescent="0.25">
      <c r="A31" s="21" t="s">
        <v>83</v>
      </c>
      <c r="B31" s="40">
        <v>1</v>
      </c>
    </row>
    <row r="32" spans="1:2" x14ac:dyDescent="0.25">
      <c r="A32" s="21" t="s">
        <v>136</v>
      </c>
      <c r="B32" s="40">
        <v>1</v>
      </c>
    </row>
    <row r="33" spans="1:2" x14ac:dyDescent="0.25">
      <c r="A33" s="21" t="s">
        <v>129</v>
      </c>
      <c r="B33" s="40">
        <v>1</v>
      </c>
    </row>
    <row r="34" spans="1:2" x14ac:dyDescent="0.25">
      <c r="A34" s="21" t="s">
        <v>202</v>
      </c>
      <c r="B34" s="40">
        <v>1</v>
      </c>
    </row>
    <row r="35" spans="1:2" x14ac:dyDescent="0.25">
      <c r="A35" s="21" t="s">
        <v>76</v>
      </c>
      <c r="B35" s="40">
        <v>1</v>
      </c>
    </row>
    <row r="36" spans="1:2" x14ac:dyDescent="0.25">
      <c r="A36" s="21" t="s">
        <v>10</v>
      </c>
      <c r="B36" s="40">
        <v>1</v>
      </c>
    </row>
    <row r="37" spans="1:2" x14ac:dyDescent="0.25">
      <c r="A37" s="21" t="s">
        <v>144</v>
      </c>
      <c r="B37" s="40">
        <v>1</v>
      </c>
    </row>
    <row r="38" spans="1:2" x14ac:dyDescent="0.25">
      <c r="A38" s="21" t="s">
        <v>238</v>
      </c>
      <c r="B38" s="40">
        <v>1</v>
      </c>
    </row>
    <row r="39" spans="1:2" x14ac:dyDescent="0.25">
      <c r="A39" s="21" t="s">
        <v>40</v>
      </c>
      <c r="B39" s="40">
        <v>1</v>
      </c>
    </row>
    <row r="40" spans="1:2" x14ac:dyDescent="0.25">
      <c r="A40" s="21" t="s">
        <v>183</v>
      </c>
      <c r="B40" s="40">
        <v>1</v>
      </c>
    </row>
    <row r="41" spans="1:2" x14ac:dyDescent="0.25">
      <c r="A41" s="21" t="s">
        <v>101</v>
      </c>
      <c r="B41" s="40">
        <v>1</v>
      </c>
    </row>
    <row r="42" spans="1:2" x14ac:dyDescent="0.25">
      <c r="A42" s="21" t="s">
        <v>190</v>
      </c>
      <c r="B42" s="40">
        <v>1</v>
      </c>
    </row>
    <row r="43" spans="1:2" x14ac:dyDescent="0.25">
      <c r="A43" s="21" t="s">
        <v>130</v>
      </c>
      <c r="B43" s="40">
        <v>1</v>
      </c>
    </row>
    <row r="44" spans="1:2" x14ac:dyDescent="0.25">
      <c r="A44" s="21" t="s">
        <v>50</v>
      </c>
      <c r="B44" s="40">
        <v>1</v>
      </c>
    </row>
    <row r="45" spans="1:2" x14ac:dyDescent="0.25">
      <c r="A45" s="21" t="s">
        <v>126</v>
      </c>
      <c r="B45" s="40">
        <v>1</v>
      </c>
    </row>
    <row r="46" spans="1:2" x14ac:dyDescent="0.25">
      <c r="A46" s="21" t="s">
        <v>96</v>
      </c>
      <c r="B46" s="40">
        <v>1</v>
      </c>
    </row>
    <row r="47" spans="1:2" x14ac:dyDescent="0.25">
      <c r="A47" s="21" t="s">
        <v>64</v>
      </c>
      <c r="B47" s="40">
        <v>1</v>
      </c>
    </row>
    <row r="48" spans="1:2" x14ac:dyDescent="0.25">
      <c r="A48" s="21" t="s">
        <v>215</v>
      </c>
      <c r="B48" s="40">
        <v>1</v>
      </c>
    </row>
    <row r="49" spans="1:2" x14ac:dyDescent="0.25">
      <c r="A49" s="21" t="s">
        <v>106</v>
      </c>
      <c r="B49" s="40">
        <v>1</v>
      </c>
    </row>
    <row r="50" spans="1:2" x14ac:dyDescent="0.25">
      <c r="A50" s="21" t="s">
        <v>229</v>
      </c>
      <c r="B50" s="40">
        <v>1</v>
      </c>
    </row>
    <row r="51" spans="1:2" x14ac:dyDescent="0.25">
      <c r="A51" s="21" t="s">
        <v>132</v>
      </c>
      <c r="B51" s="40">
        <v>1</v>
      </c>
    </row>
    <row r="52" spans="1:2" x14ac:dyDescent="0.25">
      <c r="A52" s="21" t="s">
        <v>236</v>
      </c>
      <c r="B52" s="40">
        <v>1</v>
      </c>
    </row>
    <row r="53" spans="1:2" x14ac:dyDescent="0.25">
      <c r="A53" s="21" t="s">
        <v>138</v>
      </c>
      <c r="B53" s="40">
        <v>1</v>
      </c>
    </row>
    <row r="54" spans="1:2" x14ac:dyDescent="0.25">
      <c r="A54" s="21" t="s">
        <v>241</v>
      </c>
      <c r="B54" s="40">
        <v>1</v>
      </c>
    </row>
    <row r="55" spans="1:2" x14ac:dyDescent="0.25">
      <c r="A55" s="21" t="s">
        <v>171</v>
      </c>
      <c r="B55" s="40">
        <v>1</v>
      </c>
    </row>
    <row r="56" spans="1:2" x14ac:dyDescent="0.25">
      <c r="A56" s="21" t="s">
        <v>174</v>
      </c>
      <c r="B56" s="40">
        <v>1</v>
      </c>
    </row>
    <row r="57" spans="1:2" x14ac:dyDescent="0.25">
      <c r="A57" s="21" t="s">
        <v>253</v>
      </c>
      <c r="B57" s="40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6594-0E50-41D7-BFC1-05D8D785BE10}">
  <dimension ref="A1:R186"/>
  <sheetViews>
    <sheetView topLeftCell="A40" workbookViewId="0">
      <selection activeCell="A53" sqref="A53:A55"/>
    </sheetView>
  </sheetViews>
  <sheetFormatPr defaultRowHeight="15" x14ac:dyDescent="0.25"/>
  <cols>
    <col min="2" max="2" width="19.28515625" style="22" bestFit="1" customWidth="1"/>
    <col min="5" max="5" width="11" customWidth="1"/>
    <col min="6" max="6" width="20.140625" bestFit="1" customWidth="1"/>
    <col min="7" max="7" width="19.28515625" bestFit="1" customWidth="1"/>
    <col min="9" max="10" width="11" customWidth="1"/>
    <col min="11" max="11" width="20.140625" bestFit="1" customWidth="1"/>
    <col min="12" max="12" width="16.140625" bestFit="1" customWidth="1"/>
    <col min="13" max="13" width="11" customWidth="1"/>
  </cols>
  <sheetData>
    <row r="1" spans="1:18" x14ac:dyDescent="0.25">
      <c r="B1" s="22" t="s">
        <v>254</v>
      </c>
      <c r="C1" s="23" t="s">
        <v>255</v>
      </c>
      <c r="F1" t="s">
        <v>254</v>
      </c>
      <c r="G1" t="s">
        <v>255</v>
      </c>
      <c r="H1" t="s">
        <v>256</v>
      </c>
      <c r="I1" t="s">
        <v>257</v>
      </c>
      <c r="J1" t="s">
        <v>258</v>
      </c>
      <c r="K1" t="s">
        <v>259</v>
      </c>
      <c r="L1" t="s">
        <v>260</v>
      </c>
      <c r="M1" t="s">
        <v>261</v>
      </c>
    </row>
    <row r="2" spans="1:18" x14ac:dyDescent="0.25">
      <c r="A2" t="e">
        <f>_xlfn.RANK.EQ(#REF!,C:C)</f>
        <v>#REF!</v>
      </c>
      <c r="B2" t="s">
        <v>23</v>
      </c>
      <c r="C2" s="23">
        <f>COUNTIF(GConsol8[[Comp]:[g4]],GolsJogadores6[[#This Row],[Nome]])</f>
        <v>29</v>
      </c>
      <c r="F2" t="s">
        <v>23</v>
      </c>
      <c r="G2" s="24">
        <f>GolsJogadores6[[#This Row],[Gols]]</f>
        <v>29</v>
      </c>
      <c r="H2" s="6" t="s">
        <v>11</v>
      </c>
      <c r="I2" s="5" t="s">
        <v>12</v>
      </c>
      <c r="J2" t="s">
        <v>16</v>
      </c>
      <c r="R2" t="s">
        <v>16</v>
      </c>
    </row>
    <row r="3" spans="1:18" x14ac:dyDescent="0.25">
      <c r="A3">
        <f>_xlfn.RANK.EQ(GolsJogadores6[[#This Row],[Gols]],$C$3:$C$100)</f>
        <v>1</v>
      </c>
      <c r="B3" t="s">
        <v>262</v>
      </c>
      <c r="C3" s="23">
        <f>COUNTIF(GConsol8[[Comp]:[g4]],GolsJogadores6[[#This Row],[Nome]])</f>
        <v>5</v>
      </c>
      <c r="F3" t="s">
        <v>262</v>
      </c>
      <c r="G3" s="24">
        <f>GolsJogadores6[[#This Row],[Gols]]</f>
        <v>5</v>
      </c>
      <c r="H3" s="6" t="s">
        <v>11</v>
      </c>
      <c r="I3" s="5" t="s">
        <v>19</v>
      </c>
      <c r="J3" t="s">
        <v>23</v>
      </c>
      <c r="O3" t="str">
        <f>TRIM(K3:K65)</f>
        <v/>
      </c>
      <c r="R3" t="s">
        <v>23</v>
      </c>
    </row>
    <row r="4" spans="1:18" x14ac:dyDescent="0.25">
      <c r="A4">
        <f>_xlfn.RANK.EQ(GolsJogadores6[[#This Row],[Gols]],$C$3:$C$100)</f>
        <v>2</v>
      </c>
      <c r="B4" t="s">
        <v>124</v>
      </c>
      <c r="C4" s="23">
        <f>COUNTIF(GConsol8[[Comp]:[g4]],GolsJogadores6[[#This Row],[Nome]])</f>
        <v>4</v>
      </c>
      <c r="F4" t="s">
        <v>124</v>
      </c>
      <c r="G4" s="24">
        <f>GolsJogadores6[[#This Row],[Gols]]</f>
        <v>4</v>
      </c>
      <c r="H4" s="6" t="s">
        <v>11</v>
      </c>
      <c r="I4" s="5" t="s">
        <v>25</v>
      </c>
      <c r="J4" t="s">
        <v>28</v>
      </c>
      <c r="K4" t="s">
        <v>263</v>
      </c>
      <c r="L4" t="s">
        <v>263</v>
      </c>
      <c r="R4" t="s">
        <v>28</v>
      </c>
    </row>
    <row r="5" spans="1:18" x14ac:dyDescent="0.25">
      <c r="A5">
        <f>_xlfn.RANK.EQ(GolsJogadores6[[#This Row],[Gols]],$C$3:$C$100)</f>
        <v>3</v>
      </c>
      <c r="B5" t="s">
        <v>16</v>
      </c>
      <c r="C5" s="23">
        <f>COUNTIF(GConsol8[[Comp]:[g4]],GolsJogadores6[[#This Row],[Nome]])</f>
        <v>3</v>
      </c>
      <c r="F5" t="s">
        <v>16</v>
      </c>
      <c r="G5" s="24">
        <f>GolsJogadores6[[#This Row],[Gols]]</f>
        <v>3</v>
      </c>
      <c r="H5" s="6" t="s">
        <v>31</v>
      </c>
      <c r="I5" s="5" t="s">
        <v>25</v>
      </c>
      <c r="J5" t="s">
        <v>23</v>
      </c>
      <c r="K5" t="s">
        <v>263</v>
      </c>
      <c r="L5" t="s">
        <v>263</v>
      </c>
      <c r="R5" t="s">
        <v>264</v>
      </c>
    </row>
    <row r="6" spans="1:18" x14ac:dyDescent="0.25">
      <c r="A6">
        <f>_xlfn.RANK.EQ(GolsJogadores6[[#This Row],[Gols]],$C$3:$C$100)</f>
        <v>4</v>
      </c>
      <c r="B6" t="s">
        <v>115</v>
      </c>
      <c r="C6" s="23">
        <f>COUNTIF(GConsol8[[Comp]:[g4]],GolsJogadores6[[#This Row],[Nome]])</f>
        <v>2</v>
      </c>
      <c r="F6" t="s">
        <v>115</v>
      </c>
      <c r="G6" s="24">
        <f>GolsJogadores6[[#This Row],[Gols]]</f>
        <v>2</v>
      </c>
      <c r="H6" s="6" t="s">
        <v>11</v>
      </c>
      <c r="I6" s="5" t="s">
        <v>25</v>
      </c>
      <c r="J6" t="s">
        <v>23</v>
      </c>
      <c r="K6" t="s">
        <v>263</v>
      </c>
      <c r="L6" t="s">
        <v>263</v>
      </c>
      <c r="R6" t="s">
        <v>265</v>
      </c>
    </row>
    <row r="7" spans="1:18" x14ac:dyDescent="0.25">
      <c r="A7">
        <f>_xlfn.RANK.EQ(GolsJogadores6[[#This Row],[Gols]],$C$3:$C$100)*1.000001</f>
        <v>4.0000039999999997</v>
      </c>
      <c r="B7" t="s">
        <v>167</v>
      </c>
      <c r="C7" s="23">
        <f>COUNTIF(GConsol8[[Comp]:[g4]],GolsJogadores6[[#This Row],[Nome]])</f>
        <v>2</v>
      </c>
      <c r="F7" t="s">
        <v>28</v>
      </c>
      <c r="G7" s="24">
        <f>GolsJogadores6[[#This Row],[Gols]]</f>
        <v>2</v>
      </c>
      <c r="H7" s="6" t="s">
        <v>11</v>
      </c>
      <c r="I7" s="5" t="s">
        <v>38</v>
      </c>
      <c r="J7" t="s">
        <v>23</v>
      </c>
      <c r="K7" t="s">
        <v>263</v>
      </c>
      <c r="L7" t="s">
        <v>263</v>
      </c>
      <c r="R7" t="s">
        <v>266</v>
      </c>
    </row>
    <row r="8" spans="1:18" x14ac:dyDescent="0.25">
      <c r="A8">
        <f>_xlfn.RANK.EQ(GolsJogadores6[[#This Row],[Gols]],$C$3:$C$100)</f>
        <v>7</v>
      </c>
      <c r="B8" t="s">
        <v>28</v>
      </c>
      <c r="C8" s="23">
        <f>COUNTIF(GConsol8[[Comp]:[g4]],GolsJogadores6[[#This Row],[Nome]])</f>
        <v>1</v>
      </c>
      <c r="F8" t="s">
        <v>264</v>
      </c>
      <c r="G8" s="24">
        <f>GolsJogadores6[[#This Row],[Gols]]</f>
        <v>1</v>
      </c>
      <c r="H8" s="15" t="s">
        <v>41</v>
      </c>
      <c r="I8" s="5" t="s">
        <v>25</v>
      </c>
      <c r="J8" t="s">
        <v>23</v>
      </c>
      <c r="K8" t="s">
        <v>263</v>
      </c>
      <c r="L8" t="s">
        <v>263</v>
      </c>
      <c r="R8" t="s">
        <v>57</v>
      </c>
    </row>
    <row r="9" spans="1:18" x14ac:dyDescent="0.25">
      <c r="A9">
        <f>_xlfn.RANK.EQ(GolsJogadores6[[#This Row],[Gols]],$C$3:$C$100)</f>
        <v>7</v>
      </c>
      <c r="B9" t="s">
        <v>264</v>
      </c>
      <c r="C9" s="23">
        <f>COUNTIF(GConsol8[[Comp]:[g4]],GolsJogadores6[[#This Row],[Nome]])</f>
        <v>1</v>
      </c>
      <c r="F9" t="s">
        <v>265</v>
      </c>
      <c r="G9" s="24">
        <f>GolsJogadores6[[#This Row],[Gols]]</f>
        <v>1</v>
      </c>
      <c r="H9" s="6" t="s">
        <v>31</v>
      </c>
      <c r="I9" s="5" t="s">
        <v>44</v>
      </c>
      <c r="J9" t="s">
        <v>264</v>
      </c>
      <c r="K9" t="s">
        <v>267</v>
      </c>
      <c r="L9" t="s">
        <v>268</v>
      </c>
      <c r="R9" t="s">
        <v>67</v>
      </c>
    </row>
    <row r="10" spans="1:18" x14ac:dyDescent="0.25">
      <c r="A10">
        <f>_xlfn.RANK.EQ(GolsJogadores6[[#This Row],[Gols]],$C$3:$C$100)</f>
        <v>7</v>
      </c>
      <c r="B10" t="s">
        <v>265</v>
      </c>
      <c r="C10" s="23">
        <f>COUNTIF(GConsol8[[Comp]:[g4]],GolsJogadores6[[#This Row],[Nome]])</f>
        <v>1</v>
      </c>
      <c r="F10" t="s">
        <v>266</v>
      </c>
      <c r="G10" s="24">
        <f>GolsJogadores6[[#This Row],[Gols]]</f>
        <v>1</v>
      </c>
      <c r="H10" s="6" t="s">
        <v>31</v>
      </c>
      <c r="I10" s="5" t="s">
        <v>38</v>
      </c>
      <c r="J10" t="s">
        <v>23</v>
      </c>
      <c r="K10" t="s">
        <v>263</v>
      </c>
      <c r="L10" t="s">
        <v>263</v>
      </c>
      <c r="R10" t="s">
        <v>262</v>
      </c>
    </row>
    <row r="11" spans="1:18" x14ac:dyDescent="0.25">
      <c r="A11">
        <f>_xlfn.RANK.EQ(GolsJogadores6[[#This Row],[Gols]],$C$3:$C$100)</f>
        <v>7</v>
      </c>
      <c r="B11" t="s">
        <v>266</v>
      </c>
      <c r="C11" s="23">
        <f>COUNTIF(GConsol8[[Comp]:[g4]],GolsJogadores6[[#This Row],[Nome]])</f>
        <v>1</v>
      </c>
      <c r="F11" t="s">
        <v>57</v>
      </c>
      <c r="G11" s="24">
        <f>GolsJogadores6[[#This Row],[Gols]]</f>
        <v>1</v>
      </c>
      <c r="H11" s="6" t="s">
        <v>31</v>
      </c>
      <c r="I11" s="5" t="s">
        <v>44</v>
      </c>
      <c r="J11" t="s">
        <v>265</v>
      </c>
      <c r="K11" t="s">
        <v>269</v>
      </c>
      <c r="L11" t="s">
        <v>263</v>
      </c>
      <c r="R11" t="s">
        <v>270</v>
      </c>
    </row>
    <row r="12" spans="1:18" x14ac:dyDescent="0.25">
      <c r="A12">
        <f>_xlfn.RANK.EQ(GolsJogadores6[[#This Row],[Gols]],$C$3:$C$100)</f>
        <v>7</v>
      </c>
      <c r="B12" t="s">
        <v>57</v>
      </c>
      <c r="C12" s="23">
        <f>COUNTIF(GConsol8[[Comp]:[g4]],GolsJogadores6[[#This Row],[Nome]])</f>
        <v>1</v>
      </c>
      <c r="F12" t="s">
        <v>67</v>
      </c>
      <c r="G12" s="24">
        <f>GolsJogadores6[[#This Row],[Gols]]</f>
        <v>1</v>
      </c>
      <c r="H12" s="6" t="s">
        <v>31</v>
      </c>
      <c r="I12" s="5" t="s">
        <v>25</v>
      </c>
      <c r="J12" t="s">
        <v>266</v>
      </c>
      <c r="K12" t="s">
        <v>267</v>
      </c>
      <c r="L12" t="s">
        <v>271</v>
      </c>
      <c r="R12" t="s">
        <v>75</v>
      </c>
    </row>
    <row r="13" spans="1:18" x14ac:dyDescent="0.25">
      <c r="A13">
        <f>_xlfn.RANK.EQ(GolsJogadores6[[#This Row],[Gols]],$C$3:$C$100)</f>
        <v>7</v>
      </c>
      <c r="B13" t="s">
        <v>67</v>
      </c>
      <c r="C13" s="23">
        <f>COUNTIF(GConsol8[[Comp]:[g4]],GolsJogadores6[[#This Row],[Nome]])</f>
        <v>1</v>
      </c>
      <c r="F13" t="s">
        <v>270</v>
      </c>
      <c r="G13" s="24">
        <f>GolsJogadores6[[#This Row],[Gols]]</f>
        <v>1</v>
      </c>
      <c r="H13" s="6" t="s">
        <v>11</v>
      </c>
      <c r="I13" s="5" t="s">
        <v>38</v>
      </c>
      <c r="J13" t="s">
        <v>57</v>
      </c>
      <c r="K13" t="s">
        <v>263</v>
      </c>
      <c r="L13" t="s">
        <v>263</v>
      </c>
      <c r="R13" t="s">
        <v>79</v>
      </c>
    </row>
    <row r="14" spans="1:18" x14ac:dyDescent="0.25">
      <c r="A14">
        <f>_xlfn.RANK.EQ(GolsJogadores6[[#This Row],[Gols]],$C$3:$C$100)</f>
        <v>7</v>
      </c>
      <c r="B14" t="s">
        <v>270</v>
      </c>
      <c r="C14" s="23">
        <f>COUNTIF(GConsol8[[Comp]:[g4]],GolsJogadores6[[#This Row],[Nome]])</f>
        <v>1</v>
      </c>
      <c r="F14" t="s">
        <v>75</v>
      </c>
      <c r="G14" s="24">
        <f>GolsJogadores6[[#This Row],[Gols]]</f>
        <v>1</v>
      </c>
      <c r="H14" s="6" t="s">
        <v>11</v>
      </c>
      <c r="I14" s="5" t="s">
        <v>38</v>
      </c>
      <c r="J14" t="s">
        <v>23</v>
      </c>
      <c r="K14" t="s">
        <v>263</v>
      </c>
      <c r="L14" t="s">
        <v>263</v>
      </c>
      <c r="R14" t="s">
        <v>272</v>
      </c>
    </row>
    <row r="15" spans="1:18" x14ac:dyDescent="0.25">
      <c r="A15">
        <f>_xlfn.RANK.EQ(GolsJogadores6[[#This Row],[Gols]],$C$3:$C$100)</f>
        <v>7</v>
      </c>
      <c r="B15" t="s">
        <v>75</v>
      </c>
      <c r="C15" s="23">
        <f>COUNTIF(GConsol8[[Comp]:[g4]],GolsJogadores6[[#This Row],[Nome]])</f>
        <v>1</v>
      </c>
      <c r="F15" t="s">
        <v>79</v>
      </c>
      <c r="G15" s="24">
        <f>GolsJogadores6[[#This Row],[Gols]]</f>
        <v>1</v>
      </c>
      <c r="H15" s="6" t="s">
        <v>11</v>
      </c>
      <c r="I15" s="5" t="s">
        <v>25</v>
      </c>
      <c r="J15" t="s">
        <v>23</v>
      </c>
      <c r="K15" t="s">
        <v>263</v>
      </c>
      <c r="L15" t="s">
        <v>263</v>
      </c>
      <c r="R15" t="s">
        <v>124</v>
      </c>
    </row>
    <row r="16" spans="1:18" x14ac:dyDescent="0.25">
      <c r="A16">
        <f>_xlfn.RANK.EQ(GolsJogadores6[[#This Row],[Gols]],$C$3:$C$100)</f>
        <v>7</v>
      </c>
      <c r="B16" t="s">
        <v>79</v>
      </c>
      <c r="C16" s="23">
        <f>COUNTIF(GConsol8[[Comp]:[g4]],GolsJogadores6[[#This Row],[Nome]])</f>
        <v>1</v>
      </c>
      <c r="F16" t="s">
        <v>272</v>
      </c>
      <c r="G16" s="24">
        <f>GolsJogadores6[[#This Row],[Gols]]</f>
        <v>1</v>
      </c>
      <c r="H16" s="6" t="s">
        <v>11</v>
      </c>
      <c r="I16" s="5" t="s">
        <v>25</v>
      </c>
      <c r="J16" t="s">
        <v>23</v>
      </c>
      <c r="K16" t="s">
        <v>263</v>
      </c>
      <c r="L16" t="s">
        <v>263</v>
      </c>
      <c r="R16" t="s">
        <v>273</v>
      </c>
    </row>
    <row r="17" spans="1:18" x14ac:dyDescent="0.25">
      <c r="A17">
        <f>_xlfn.RANK.EQ(GolsJogadores6[[#This Row],[Gols]],$C$3:$C$100)</f>
        <v>7</v>
      </c>
      <c r="B17" t="s">
        <v>272</v>
      </c>
      <c r="C17" s="23">
        <f>COUNTIF(GConsol8[[Comp]:[g4]],GolsJogadores6[[#This Row],[Nome]])</f>
        <v>1</v>
      </c>
      <c r="F17" t="s">
        <v>273</v>
      </c>
      <c r="G17" s="24">
        <f>GolsJogadores6[[#This Row],[Gols]]</f>
        <v>1</v>
      </c>
      <c r="H17" s="6" t="s">
        <v>31</v>
      </c>
      <c r="I17" s="5" t="s">
        <v>38</v>
      </c>
      <c r="J17" t="s">
        <v>67</v>
      </c>
      <c r="K17" t="s">
        <v>263</v>
      </c>
      <c r="L17" t="s">
        <v>263</v>
      </c>
      <c r="R17" t="s">
        <v>95</v>
      </c>
    </row>
    <row r="18" spans="1:18" x14ac:dyDescent="0.25">
      <c r="A18">
        <f>_xlfn.RANK.EQ(GolsJogadores6[[#This Row],[Gols]],$C$3:$C$100)</f>
        <v>7</v>
      </c>
      <c r="B18" t="s">
        <v>273</v>
      </c>
      <c r="C18" s="23">
        <f>COUNTIF(GConsol8[[Comp]:[g4]],GolsJogadores6[[#This Row],[Nome]])</f>
        <v>1</v>
      </c>
      <c r="F18" t="s">
        <v>95</v>
      </c>
      <c r="G18" s="24">
        <f>GolsJogadores6[[#This Row],[Gols]]</f>
        <v>1</v>
      </c>
      <c r="H18" s="6" t="s">
        <v>31</v>
      </c>
      <c r="I18" s="5" t="s">
        <v>44</v>
      </c>
      <c r="J18" t="s">
        <v>23</v>
      </c>
      <c r="K18" t="s">
        <v>263</v>
      </c>
      <c r="L18" t="s">
        <v>263</v>
      </c>
      <c r="R18" t="s">
        <v>274</v>
      </c>
    </row>
    <row r="19" spans="1:18" x14ac:dyDescent="0.25">
      <c r="A19">
        <f>_xlfn.RANK.EQ(GolsJogadores6[[#This Row],[Gols]],$C$3:$C$100)</f>
        <v>7</v>
      </c>
      <c r="B19" t="s">
        <v>95</v>
      </c>
      <c r="C19" s="23">
        <f>COUNTIF(GConsol8[[Comp]:[g4]],GolsJogadores6[[#This Row],[Nome]])</f>
        <v>1</v>
      </c>
      <c r="F19" t="s">
        <v>103</v>
      </c>
      <c r="G19" s="24">
        <f>GolsJogadores6[[#This Row],[Gols]]</f>
        <v>1</v>
      </c>
      <c r="H19" s="6" t="s">
        <v>31</v>
      </c>
      <c r="I19" s="5" t="s">
        <v>25</v>
      </c>
      <c r="J19" t="s">
        <v>262</v>
      </c>
      <c r="K19" t="s">
        <v>275</v>
      </c>
      <c r="L19" t="s">
        <v>263</v>
      </c>
      <c r="R19" t="s">
        <v>103</v>
      </c>
    </row>
    <row r="20" spans="1:18" x14ac:dyDescent="0.25">
      <c r="A20">
        <f>_xlfn.RANK.EQ(GolsJogadores6[[#This Row],[Gols]],$C$3:$C$100)</f>
        <v>7</v>
      </c>
      <c r="B20" t="s">
        <v>103</v>
      </c>
      <c r="C20" s="23">
        <f>COUNTIF(GConsol8[[Comp]:[g4]],GolsJogadores6[[#This Row],[Nome]])</f>
        <v>1</v>
      </c>
      <c r="F20" t="s">
        <v>104</v>
      </c>
      <c r="G20" s="24">
        <f>GolsJogadores6[[#This Row],[Gols]]</f>
        <v>1</v>
      </c>
      <c r="H20" s="6" t="s">
        <v>31</v>
      </c>
      <c r="I20" s="5" t="s">
        <v>44</v>
      </c>
      <c r="J20" t="s">
        <v>270</v>
      </c>
      <c r="K20" t="s">
        <v>276</v>
      </c>
      <c r="L20" t="s">
        <v>263</v>
      </c>
      <c r="R20" t="s">
        <v>104</v>
      </c>
    </row>
    <row r="21" spans="1:18" x14ac:dyDescent="0.25">
      <c r="A21">
        <f>_xlfn.RANK.EQ(GolsJogadores6[[#This Row],[Gols]],$C$3:$C$100)</f>
        <v>7</v>
      </c>
      <c r="B21" t="s">
        <v>104</v>
      </c>
      <c r="C21" s="23">
        <f>COUNTIF(GConsol8[[Comp]:[g4]],GolsJogadores6[[#This Row],[Nome]])</f>
        <v>1</v>
      </c>
      <c r="F21" t="s">
        <v>108</v>
      </c>
      <c r="G21" s="24">
        <f>GolsJogadores6[[#This Row],[Gols]]</f>
        <v>1</v>
      </c>
      <c r="H21" s="6" t="s">
        <v>31</v>
      </c>
      <c r="I21" s="5" t="s">
        <v>25</v>
      </c>
      <c r="J21" t="s">
        <v>75</v>
      </c>
      <c r="K21" t="s">
        <v>263</v>
      </c>
      <c r="L21" t="s">
        <v>263</v>
      </c>
      <c r="R21" t="s">
        <v>108</v>
      </c>
    </row>
    <row r="22" spans="1:18" x14ac:dyDescent="0.25">
      <c r="A22">
        <f>_xlfn.RANK.EQ(GolsJogadores6[[#This Row],[Gols]],$C$3:$C$100)</f>
        <v>7</v>
      </c>
      <c r="B22" t="s">
        <v>108</v>
      </c>
      <c r="C22" s="23">
        <f>COUNTIF(GConsol8[[Comp]:[g4]],GolsJogadores6[[#This Row],[Nome]])</f>
        <v>1</v>
      </c>
      <c r="F22" t="s">
        <v>111</v>
      </c>
      <c r="G22" s="24">
        <f>GolsJogadores6[[#This Row],[Gols]]</f>
        <v>1</v>
      </c>
      <c r="H22" s="6" t="s">
        <v>11</v>
      </c>
      <c r="I22" s="5" t="s">
        <v>38</v>
      </c>
      <c r="J22" t="s">
        <v>79</v>
      </c>
      <c r="K22" t="s">
        <v>263</v>
      </c>
      <c r="L22" t="s">
        <v>263</v>
      </c>
      <c r="R22" t="s">
        <v>111</v>
      </c>
    </row>
    <row r="23" spans="1:18" x14ac:dyDescent="0.25">
      <c r="A23">
        <f>_xlfn.RANK.EQ(GolsJogadores6[[#This Row],[Gols]],$C$3:$C$100)</f>
        <v>7</v>
      </c>
      <c r="B23" t="s">
        <v>111</v>
      </c>
      <c r="C23" s="23">
        <f>COUNTIF(GConsol8[[Comp]:[g4]],GolsJogadores6[[#This Row],[Nome]])</f>
        <v>1</v>
      </c>
      <c r="F23" t="s">
        <v>112</v>
      </c>
      <c r="G23" s="24">
        <f>GolsJogadores6[[#This Row],[Gols]]</f>
        <v>1</v>
      </c>
      <c r="H23" s="6" t="s">
        <v>11</v>
      </c>
      <c r="I23" s="5" t="s">
        <v>38</v>
      </c>
      <c r="J23" t="s">
        <v>272</v>
      </c>
      <c r="K23" t="s">
        <v>277</v>
      </c>
      <c r="L23" t="s">
        <v>263</v>
      </c>
      <c r="R23" t="s">
        <v>112</v>
      </c>
    </row>
    <row r="24" spans="1:18" x14ac:dyDescent="0.25">
      <c r="A24">
        <f>_xlfn.RANK.EQ(GolsJogadores6[[#This Row],[Gols]],$C$3:$C$100)</f>
        <v>7</v>
      </c>
      <c r="B24" t="s">
        <v>112</v>
      </c>
      <c r="C24" s="23">
        <f>COUNTIF(GConsol8[[Comp]:[g4]],GolsJogadores6[[#This Row],[Nome]])</f>
        <v>1</v>
      </c>
      <c r="F24" t="s">
        <v>123</v>
      </c>
      <c r="G24" s="24">
        <f>GolsJogadores6[[#This Row],[Gols]]</f>
        <v>1</v>
      </c>
      <c r="H24" s="6" t="s">
        <v>11</v>
      </c>
      <c r="I24" s="5" t="s">
        <v>38</v>
      </c>
      <c r="J24" t="s">
        <v>23</v>
      </c>
      <c r="K24" t="s">
        <v>263</v>
      </c>
      <c r="L24" t="s">
        <v>263</v>
      </c>
      <c r="R24" t="s">
        <v>278</v>
      </c>
    </row>
    <row r="25" spans="1:18" x14ac:dyDescent="0.25">
      <c r="A25">
        <f>_xlfn.RANK.EQ(GolsJogadores6[[#This Row],[Gols]],$C$3:$C$100)</f>
        <v>7</v>
      </c>
      <c r="B25" t="s">
        <v>123</v>
      </c>
      <c r="C25" s="23">
        <f>COUNTIF(GConsol8[[Comp]:[g4]],GolsJogadores6[[#This Row],[Nome]])</f>
        <v>1</v>
      </c>
      <c r="F25" t="s">
        <v>125</v>
      </c>
      <c r="G25" s="24">
        <f>GolsJogadores6[[#This Row],[Gols]]</f>
        <v>1</v>
      </c>
      <c r="H25" s="6" t="s">
        <v>85</v>
      </c>
      <c r="I25" s="5" t="s">
        <v>38</v>
      </c>
      <c r="J25" t="s">
        <v>23</v>
      </c>
      <c r="K25" t="s">
        <v>263</v>
      </c>
      <c r="L25" t="s">
        <v>263</v>
      </c>
      <c r="R25" t="s">
        <v>123</v>
      </c>
    </row>
    <row r="26" spans="1:18" x14ac:dyDescent="0.25">
      <c r="A26">
        <f>_xlfn.RANK.EQ(GolsJogadores6[[#This Row],[Gols]],$C$3:$C$100)</f>
        <v>7</v>
      </c>
      <c r="B26" t="s">
        <v>125</v>
      </c>
      <c r="C26" s="23">
        <f>COUNTIF(GConsol8[[Comp]:[g4]],GolsJogadores6[[#This Row],[Nome]])</f>
        <v>1</v>
      </c>
      <c r="F26" t="s">
        <v>128</v>
      </c>
      <c r="G26" s="24">
        <f>GolsJogadores6[[#This Row],[Gols]]</f>
        <v>1</v>
      </c>
      <c r="H26" s="6" t="s">
        <v>11</v>
      </c>
      <c r="I26" s="5" t="s">
        <v>25</v>
      </c>
      <c r="J26" t="s">
        <v>124</v>
      </c>
      <c r="K26" t="s">
        <v>124</v>
      </c>
      <c r="L26" t="s">
        <v>124</v>
      </c>
      <c r="R26" t="s">
        <v>125</v>
      </c>
    </row>
    <row r="27" spans="1:18" x14ac:dyDescent="0.25">
      <c r="A27">
        <f>_xlfn.RANK.EQ(GolsJogadores6[[#This Row],[Gols]],$C$3:$C$100)</f>
        <v>7</v>
      </c>
      <c r="B27" t="s">
        <v>128</v>
      </c>
      <c r="C27" s="23">
        <f>COUNTIF(GConsol8[[Comp]:[g4]],GolsJogadores6[[#This Row],[Nome]])</f>
        <v>1</v>
      </c>
      <c r="F27" t="s">
        <v>137</v>
      </c>
      <c r="G27" s="24">
        <f>GolsJogadores6[[#This Row],[Gols]]</f>
        <v>1</v>
      </c>
      <c r="H27" s="6" t="s">
        <v>31</v>
      </c>
      <c r="I27" s="5" t="s">
        <v>89</v>
      </c>
      <c r="J27" t="s">
        <v>23</v>
      </c>
      <c r="K27" t="s">
        <v>263</v>
      </c>
      <c r="L27" t="s">
        <v>263</v>
      </c>
      <c r="R27" t="s">
        <v>128</v>
      </c>
    </row>
    <row r="28" spans="1:18" x14ac:dyDescent="0.25">
      <c r="A28">
        <f>_xlfn.RANK.EQ(GolsJogadores6[[#This Row],[Gols]],$C$3:$C$100)</f>
        <v>7</v>
      </c>
      <c r="B28" t="s">
        <v>137</v>
      </c>
      <c r="C28" s="23">
        <f>COUNTIF(GConsol8[[Comp]:[g4]],GolsJogadores6[[#This Row],[Nome]])</f>
        <v>1</v>
      </c>
      <c r="F28" t="s">
        <v>140</v>
      </c>
      <c r="G28" s="24">
        <f>GolsJogadores6[[#This Row],[Gols]]</f>
        <v>1</v>
      </c>
      <c r="H28" s="6" t="s">
        <v>31</v>
      </c>
      <c r="I28" s="5" t="s">
        <v>25</v>
      </c>
      <c r="J28" t="s">
        <v>23</v>
      </c>
      <c r="K28" t="s">
        <v>263</v>
      </c>
      <c r="L28" t="s">
        <v>263</v>
      </c>
      <c r="R28" t="s">
        <v>137</v>
      </c>
    </row>
    <row r="29" spans="1:18" x14ac:dyDescent="0.25">
      <c r="A29">
        <f>_xlfn.RANK.EQ(GolsJogadores6[[#This Row],[Gols]],$C$3:$C$100)</f>
        <v>7</v>
      </c>
      <c r="B29" t="s">
        <v>140</v>
      </c>
      <c r="C29" s="23">
        <f>COUNTIF(GConsol8[[Comp]:[g4]],GolsJogadores6[[#This Row],[Nome]])</f>
        <v>1</v>
      </c>
      <c r="F29" t="s">
        <v>143</v>
      </c>
      <c r="G29" s="24">
        <f>GolsJogadores6[[#This Row],[Gols]]</f>
        <v>1</v>
      </c>
      <c r="H29" s="6" t="s">
        <v>31</v>
      </c>
      <c r="I29" s="5" t="s">
        <v>38</v>
      </c>
      <c r="J29" t="s">
        <v>273</v>
      </c>
      <c r="K29" t="s">
        <v>279</v>
      </c>
      <c r="L29" t="s">
        <v>263</v>
      </c>
      <c r="R29" t="s">
        <v>140</v>
      </c>
    </row>
    <row r="30" spans="1:18" x14ac:dyDescent="0.25">
      <c r="A30">
        <f>_xlfn.RANK.EQ(GolsJogadores6[[#This Row],[Gols]],$C$3:$C$100)</f>
        <v>7</v>
      </c>
      <c r="B30" t="s">
        <v>143</v>
      </c>
      <c r="C30" s="23">
        <f>COUNTIF(GConsol8[[Comp]:[g4]],GolsJogadores6[[#This Row],[Nome]])</f>
        <v>1</v>
      </c>
      <c r="F30" t="s">
        <v>280</v>
      </c>
      <c r="G30" s="24">
        <f>GolsJogadores6[[#This Row],[Gols]]</f>
        <v>1</v>
      </c>
      <c r="H30" s="6" t="s">
        <v>31</v>
      </c>
      <c r="I30" s="5" t="s">
        <v>25</v>
      </c>
      <c r="J30" t="s">
        <v>95</v>
      </c>
      <c r="K30" t="s">
        <v>263</v>
      </c>
      <c r="L30" t="s">
        <v>263</v>
      </c>
      <c r="R30" t="s">
        <v>143</v>
      </c>
    </row>
    <row r="31" spans="1:18" x14ac:dyDescent="0.25">
      <c r="A31">
        <f>_xlfn.RANK.EQ(GolsJogadores6[[#This Row],[Gols]],$C$3:$C$100)</f>
        <v>7</v>
      </c>
      <c r="B31" t="s">
        <v>280</v>
      </c>
      <c r="C31" s="23">
        <f>COUNTIF(GConsol8[[Comp]:[g4]],GolsJogadores6[[#This Row],[Nome]])</f>
        <v>1</v>
      </c>
      <c r="F31" t="s">
        <v>155</v>
      </c>
      <c r="G31" s="24">
        <f>GolsJogadores6[[#This Row],[Gols]]</f>
        <v>1</v>
      </c>
      <c r="H31" s="6" t="s">
        <v>11</v>
      </c>
      <c r="I31" s="5" t="s">
        <v>38</v>
      </c>
      <c r="J31" t="s">
        <v>274</v>
      </c>
      <c r="K31" t="s">
        <v>263</v>
      </c>
      <c r="L31" t="s">
        <v>263</v>
      </c>
      <c r="R31" t="s">
        <v>280</v>
      </c>
    </row>
    <row r="32" spans="1:18" x14ac:dyDescent="0.25">
      <c r="A32">
        <f>_xlfn.RANK.EQ(GolsJogadores6[[#This Row],[Gols]],$C$3:$C$100)</f>
        <v>7</v>
      </c>
      <c r="B32" t="s">
        <v>155</v>
      </c>
      <c r="C32" s="23">
        <f>COUNTIF(GConsol8[[Comp]:[g4]],GolsJogadores6[[#This Row],[Nome]])</f>
        <v>1</v>
      </c>
      <c r="F32" t="s">
        <v>281</v>
      </c>
      <c r="G32" s="24">
        <f>GolsJogadores6[[#This Row],[Gols]]</f>
        <v>1</v>
      </c>
      <c r="H32" s="6" t="s">
        <v>11</v>
      </c>
      <c r="I32" s="5" t="s">
        <v>38</v>
      </c>
      <c r="J32" t="s">
        <v>262</v>
      </c>
      <c r="K32" t="s">
        <v>263</v>
      </c>
      <c r="L32" t="s">
        <v>263</v>
      </c>
      <c r="R32" t="s">
        <v>115</v>
      </c>
    </row>
    <row r="33" spans="1:18" x14ac:dyDescent="0.25">
      <c r="A33">
        <f>_xlfn.RANK.EQ(GolsJogadores6[[#This Row],[Gols]],$C$3:$C$100)</f>
        <v>7</v>
      </c>
      <c r="B33" t="s">
        <v>281</v>
      </c>
      <c r="C33" s="23">
        <f>COUNTIF(GConsol8[[Comp]:[g4]],GolsJogadores6[[#This Row],[Nome]])</f>
        <v>1</v>
      </c>
      <c r="F33" t="s">
        <v>269</v>
      </c>
      <c r="G33" s="24">
        <f>GolsJogadores6[[#This Row],[Gols]]</f>
        <v>1</v>
      </c>
      <c r="H33" s="6" t="s">
        <v>11</v>
      </c>
      <c r="I33" s="5" t="s">
        <v>38</v>
      </c>
      <c r="J33" t="s">
        <v>23</v>
      </c>
      <c r="K33" t="s">
        <v>263</v>
      </c>
      <c r="L33" t="s">
        <v>263</v>
      </c>
      <c r="R33" t="s">
        <v>155</v>
      </c>
    </row>
    <row r="34" spans="1:18" x14ac:dyDescent="0.25">
      <c r="A34">
        <f>_xlfn.RANK.EQ(GolsJogadores6[[#This Row],[Gols]],$C$3:$C$100)</f>
        <v>7</v>
      </c>
      <c r="B34" t="s">
        <v>269</v>
      </c>
      <c r="C34" s="23">
        <f>COUNTIF(GConsol8[[Comp]:[g4]],GolsJogadores6[[#This Row],[Nome]])</f>
        <v>1</v>
      </c>
      <c r="F34" t="s">
        <v>275</v>
      </c>
      <c r="G34" s="24">
        <f>GolsJogadores6[[#This Row],[Gols]]</f>
        <v>1</v>
      </c>
      <c r="H34" s="6" t="s">
        <v>11</v>
      </c>
      <c r="I34" s="5" t="s">
        <v>38</v>
      </c>
      <c r="J34" t="s">
        <v>103</v>
      </c>
      <c r="K34" t="s">
        <v>263</v>
      </c>
      <c r="L34" t="s">
        <v>263</v>
      </c>
      <c r="R34" t="s">
        <v>281</v>
      </c>
    </row>
    <row r="35" spans="1:18" x14ac:dyDescent="0.25">
      <c r="A35">
        <f>_xlfn.RANK.EQ(GolsJogadores6[[#This Row],[Gols]],$C$3:$C$100)</f>
        <v>7</v>
      </c>
      <c r="B35" t="s">
        <v>275</v>
      </c>
      <c r="C35" s="23">
        <f>COUNTIF(GConsol8[[Comp]:[g4]],GolsJogadores6[[#This Row],[Nome]])</f>
        <v>1</v>
      </c>
      <c r="F35" t="s">
        <v>276</v>
      </c>
      <c r="G35" s="24">
        <f>GolsJogadores6[[#This Row],[Gols]]</f>
        <v>1</v>
      </c>
      <c r="H35" s="6" t="s">
        <v>11</v>
      </c>
      <c r="I35" s="5" t="s">
        <v>38</v>
      </c>
      <c r="J35" t="s">
        <v>104</v>
      </c>
      <c r="K35" t="s">
        <v>263</v>
      </c>
      <c r="L35" t="s">
        <v>263</v>
      </c>
      <c r="R35" t="s">
        <v>269</v>
      </c>
    </row>
    <row r="36" spans="1:18" x14ac:dyDescent="0.25">
      <c r="A36">
        <f>_xlfn.RANK.EQ(GolsJogadores6[[#This Row],[Gols]],$C$3:$C$100)</f>
        <v>7</v>
      </c>
      <c r="B36" t="s">
        <v>276</v>
      </c>
      <c r="C36" s="23">
        <f>COUNTIF(GConsol8[[Comp]:[g4]],GolsJogadores6[[#This Row],[Nome]])</f>
        <v>1</v>
      </c>
      <c r="F36" t="s">
        <v>277</v>
      </c>
      <c r="G36" s="24">
        <f>GolsJogadores6[[#This Row],[Gols]]</f>
        <v>1</v>
      </c>
      <c r="H36" s="6" t="s">
        <v>11</v>
      </c>
      <c r="I36" s="5" t="s">
        <v>38</v>
      </c>
      <c r="J36" t="s">
        <v>23</v>
      </c>
      <c r="K36" t="s">
        <v>263</v>
      </c>
      <c r="L36" t="s">
        <v>263</v>
      </c>
      <c r="R36" t="s">
        <v>275</v>
      </c>
    </row>
    <row r="37" spans="1:18" x14ac:dyDescent="0.25">
      <c r="A37">
        <f>_xlfn.RANK.EQ(GolsJogadores6[[#This Row],[Gols]],$C$3:$C$100)</f>
        <v>7</v>
      </c>
      <c r="B37" t="s">
        <v>277</v>
      </c>
      <c r="C37" s="23">
        <f>COUNTIF(GConsol8[[Comp]:[g4]],GolsJogadores6[[#This Row],[Nome]])</f>
        <v>1</v>
      </c>
      <c r="F37" t="s">
        <v>279</v>
      </c>
      <c r="G37" s="24">
        <f>GolsJogadores6[[#This Row],[Gols]]</f>
        <v>1</v>
      </c>
      <c r="H37" s="6" t="s">
        <v>11</v>
      </c>
      <c r="I37" s="5" t="s">
        <v>38</v>
      </c>
      <c r="J37" t="s">
        <v>108</v>
      </c>
      <c r="K37" t="s">
        <v>263</v>
      </c>
      <c r="L37" t="s">
        <v>263</v>
      </c>
      <c r="R37" t="s">
        <v>276</v>
      </c>
    </row>
    <row r="38" spans="1:18" x14ac:dyDescent="0.25">
      <c r="A38">
        <f>_xlfn.RANK.EQ(GolsJogadores6[[#This Row],[Gols]],$C$3:$C$100)</f>
        <v>7</v>
      </c>
      <c r="B38" t="s">
        <v>279</v>
      </c>
      <c r="C38" s="23">
        <f>COUNTIF(GConsol8[[Comp]:[g4]],GolsJogadores6[[#This Row],[Nome]])</f>
        <v>1</v>
      </c>
      <c r="F38" t="s">
        <v>268</v>
      </c>
      <c r="G38" s="24">
        <f>GolsJogadores6[[#This Row],[Gols]]</f>
        <v>1</v>
      </c>
      <c r="H38" s="6" t="s">
        <v>11</v>
      </c>
      <c r="I38" s="5" t="s">
        <v>38</v>
      </c>
      <c r="J38" t="s">
        <v>23</v>
      </c>
      <c r="K38" t="s">
        <v>263</v>
      </c>
      <c r="L38" t="s">
        <v>263</v>
      </c>
      <c r="R38" t="s">
        <v>277</v>
      </c>
    </row>
    <row r="39" spans="1:18" x14ac:dyDescent="0.25">
      <c r="A39">
        <f>_xlfn.RANK.EQ(GolsJogadores6[[#This Row],[Gols]],$C$3:$C$100)</f>
        <v>7</v>
      </c>
      <c r="B39" t="s">
        <v>268</v>
      </c>
      <c r="C39" s="23">
        <f>COUNTIF(GConsol8[[Comp]:[g4]],GolsJogadores6[[#This Row],[Nome]])</f>
        <v>1</v>
      </c>
      <c r="F39" t="s">
        <v>271</v>
      </c>
      <c r="G39" s="24">
        <f>GolsJogadores6[[#This Row],[Gols]]</f>
        <v>1</v>
      </c>
      <c r="H39" s="6" t="s">
        <v>11</v>
      </c>
      <c r="I39" s="5" t="s">
        <v>25</v>
      </c>
      <c r="J39" t="s">
        <v>111</v>
      </c>
      <c r="K39" t="s">
        <v>263</v>
      </c>
      <c r="L39" t="s">
        <v>263</v>
      </c>
      <c r="R39" t="s">
        <v>279</v>
      </c>
    </row>
    <row r="40" spans="1:18" x14ac:dyDescent="0.25">
      <c r="A40">
        <f>_xlfn.RANK.EQ(GolsJogadores6[[#This Row],[Gols]],$C$3:$C$100)</f>
        <v>7</v>
      </c>
      <c r="B40" t="s">
        <v>271</v>
      </c>
      <c r="C40" s="23">
        <f>COUNTIF(GConsol8[[Comp]:[g4]],GolsJogadores6[[#This Row],[Nome]])</f>
        <v>1</v>
      </c>
      <c r="F40" t="s">
        <v>282</v>
      </c>
      <c r="G40" s="24">
        <f>GolsJogadores6[[#This Row],[Gols]]</f>
        <v>1</v>
      </c>
      <c r="H40" s="6" t="s">
        <v>31</v>
      </c>
      <c r="I40" s="5" t="s">
        <v>38</v>
      </c>
      <c r="J40" t="s">
        <v>23</v>
      </c>
      <c r="K40" t="s">
        <v>263</v>
      </c>
      <c r="L40" t="s">
        <v>263</v>
      </c>
      <c r="R40" t="s">
        <v>283</v>
      </c>
    </row>
    <row r="41" spans="1:18" x14ac:dyDescent="0.25">
      <c r="A41">
        <f>_xlfn.RANK.EQ(GolsJogadores6[[#This Row],[Gols]],$C$3:$C$100)</f>
        <v>7</v>
      </c>
      <c r="B41" t="s">
        <v>282</v>
      </c>
      <c r="C41" s="23">
        <f>COUNTIF(GConsol8[[Comp]:[g4]],GolsJogadores6[[#This Row],[Nome]])</f>
        <v>1</v>
      </c>
      <c r="F41" t="s">
        <v>274</v>
      </c>
      <c r="G41" s="24">
        <f>GolsJogadores6[[#This Row],[Gols]]</f>
        <v>1</v>
      </c>
      <c r="H41" s="6" t="s">
        <v>31</v>
      </c>
      <c r="I41" s="5" t="s">
        <v>44</v>
      </c>
      <c r="J41" t="s">
        <v>112</v>
      </c>
      <c r="K41" t="s">
        <v>263</v>
      </c>
      <c r="L41" t="s">
        <v>263</v>
      </c>
      <c r="R41" t="s">
        <v>268</v>
      </c>
    </row>
    <row r="42" spans="1:18" x14ac:dyDescent="0.25">
      <c r="A42">
        <f>_xlfn.RANK.EQ(GolsJogadores6[[#This Row],[Gols]],$C$3:$C$100)</f>
        <v>7</v>
      </c>
      <c r="B42" t="s">
        <v>274</v>
      </c>
      <c r="C42" s="23">
        <f>COUNTIF(GConsol8[[Comp]:[g4]],GolsJogadores6[[#This Row],[Nome]])</f>
        <v>1</v>
      </c>
      <c r="F42" t="s">
        <v>278</v>
      </c>
      <c r="G42" s="24">
        <f>GolsJogadores6[[#This Row],[Gols]]</f>
        <v>1</v>
      </c>
      <c r="H42" s="6" t="s">
        <v>114</v>
      </c>
      <c r="I42" s="5" t="s">
        <v>38</v>
      </c>
      <c r="J42" t="s">
        <v>23</v>
      </c>
      <c r="K42" t="s">
        <v>263</v>
      </c>
      <c r="L42" t="s">
        <v>263</v>
      </c>
      <c r="R42" t="s">
        <v>271</v>
      </c>
    </row>
    <row r="43" spans="1:18" x14ac:dyDescent="0.25">
      <c r="A43">
        <f>_xlfn.RANK.EQ(GolsJogadores6[[#This Row],[Gols]],$C$3:$C$100)</f>
        <v>7</v>
      </c>
      <c r="B43" t="s">
        <v>278</v>
      </c>
      <c r="C43" s="23">
        <f>COUNTIF(GConsol8[[Comp]:[g4]],GolsJogadores6[[#This Row],[Nome]])</f>
        <v>1</v>
      </c>
      <c r="F43" t="s">
        <v>283</v>
      </c>
      <c r="G43" s="24">
        <f>GolsJogadores6[[#This Row],[Gols]]</f>
        <v>1</v>
      </c>
      <c r="H43" s="6" t="s">
        <v>85</v>
      </c>
      <c r="I43" s="5" t="s">
        <v>25</v>
      </c>
      <c r="J43" t="s">
        <v>23</v>
      </c>
      <c r="K43" t="s">
        <v>263</v>
      </c>
      <c r="L43" t="s">
        <v>263</v>
      </c>
      <c r="R43" t="s">
        <v>282</v>
      </c>
    </row>
    <row r="44" spans="1:18" x14ac:dyDescent="0.25">
      <c r="A44">
        <f>_xlfn.RANK.EQ(GolsJogadores6[[#This Row],[Gols]],$C$3:$C$100)</f>
        <v>7</v>
      </c>
      <c r="B44" t="s">
        <v>283</v>
      </c>
      <c r="C44" s="23">
        <f>COUNTIF(GConsol8[[Comp]:[g4]],GolsJogadores6[[#This Row],[Nome]])</f>
        <v>1</v>
      </c>
      <c r="F44" t="s">
        <v>284</v>
      </c>
      <c r="G44" s="24">
        <f>GolsJogadores6[[#This Row],[Gols]]</f>
        <v>1</v>
      </c>
      <c r="H44" s="6" t="s">
        <v>41</v>
      </c>
      <c r="I44" s="5" t="s">
        <v>38</v>
      </c>
      <c r="J44" t="s">
        <v>278</v>
      </c>
      <c r="K44" t="s">
        <v>263</v>
      </c>
      <c r="L44" t="s">
        <v>263</v>
      </c>
      <c r="R44" t="s">
        <v>284</v>
      </c>
    </row>
    <row r="45" spans="1:18" x14ac:dyDescent="0.25">
      <c r="A45">
        <f>_xlfn.RANK.EQ(GolsJogadores6[[#This Row],[Gols]],$C$3:$C$100)</f>
        <v>7</v>
      </c>
      <c r="B45" t="s">
        <v>284</v>
      </c>
      <c r="C45" s="23">
        <f>COUNTIF(GConsol8[[Comp]:[g4]],GolsJogadores6[[#This Row],[Nome]])</f>
        <v>1</v>
      </c>
      <c r="F45" t="s">
        <v>285</v>
      </c>
      <c r="G45" s="24">
        <f>GolsJogadores6[[#This Row],[Gols]]</f>
        <v>1</v>
      </c>
      <c r="H45" s="6" t="s">
        <v>31</v>
      </c>
      <c r="I45" s="5" t="s">
        <v>121</v>
      </c>
      <c r="J45" t="s">
        <v>123</v>
      </c>
      <c r="K45" t="s">
        <v>263</v>
      </c>
      <c r="L45" t="s">
        <v>263</v>
      </c>
      <c r="R45" t="s">
        <v>285</v>
      </c>
    </row>
    <row r="46" spans="1:18" x14ac:dyDescent="0.25">
      <c r="A46">
        <f>_xlfn.RANK.EQ(GolsJogadores6[[#This Row],[Gols]],$C$3:$C$100)</f>
        <v>7</v>
      </c>
      <c r="B46" s="25" t="s">
        <v>285</v>
      </c>
      <c r="C46" s="23">
        <f>COUNTIF(GConsol8[[Comp]:[g4]],GolsJogadores6[[#This Row],[Nome]])</f>
        <v>1</v>
      </c>
      <c r="F46" s="5" t="s">
        <v>165</v>
      </c>
      <c r="G46" s="24">
        <f>GolsJogadores6[[#This Row],[Gols]]</f>
        <v>1</v>
      </c>
      <c r="H46" s="6" t="s">
        <v>31</v>
      </c>
      <c r="I46" s="5" t="s">
        <v>25</v>
      </c>
      <c r="J46" t="s">
        <v>124</v>
      </c>
      <c r="K46" t="s">
        <v>263</v>
      </c>
      <c r="L46" t="s">
        <v>263</v>
      </c>
    </row>
    <row r="47" spans="1:18" x14ac:dyDescent="0.25">
      <c r="A47">
        <f>_xlfn.RANK.EQ(GolsJogadores6[[#This Row],[Gols]],$C$3:$C$100)</f>
        <v>7</v>
      </c>
      <c r="B47" s="23" t="s">
        <v>165</v>
      </c>
      <c r="C47" s="23">
        <f>COUNTIF(GConsol8[[Comp]:[g4]],GolsJogadores6[[#This Row],[Nome]])</f>
        <v>1</v>
      </c>
      <c r="F47" t="s">
        <v>185</v>
      </c>
      <c r="G47" s="24">
        <f>GolsJogadores6[[#This Row],[Gols]]</f>
        <v>1</v>
      </c>
      <c r="H47" s="6" t="s">
        <v>31</v>
      </c>
      <c r="I47" s="5" t="s">
        <v>25</v>
      </c>
      <c r="J47" t="s">
        <v>125</v>
      </c>
      <c r="K47" t="s">
        <v>263</v>
      </c>
      <c r="L47" t="s">
        <v>263</v>
      </c>
    </row>
    <row r="48" spans="1:18" x14ac:dyDescent="0.25">
      <c r="A48">
        <f>_xlfn.RANK.EQ(GolsJogadores6[[#This Row],[Gols]],$C$3:$C$100)</f>
        <v>4</v>
      </c>
      <c r="B48" t="s">
        <v>185</v>
      </c>
      <c r="C48" s="23">
        <f>COUNTIF(GConsol8[[Comp]:[g4]],GolsJogadores6[[#This Row],[Nome]])</f>
        <v>2</v>
      </c>
      <c r="F48" t="s">
        <v>286</v>
      </c>
      <c r="G48" s="24">
        <f>GolsJogadores6[[#This Row],[Gols]]</f>
        <v>2</v>
      </c>
      <c r="H48" s="6" t="s">
        <v>41</v>
      </c>
      <c r="I48" s="5" t="s">
        <v>38</v>
      </c>
      <c r="J48" t="s">
        <v>128</v>
      </c>
      <c r="K48" t="s">
        <v>263</v>
      </c>
      <c r="L48" t="s">
        <v>263</v>
      </c>
    </row>
    <row r="49" spans="1:12" x14ac:dyDescent="0.25">
      <c r="A49">
        <f>_xlfn.RANK.EQ(GolsJogadores6[[#This Row],[Gols]],$C$3:$C$100)</f>
        <v>7</v>
      </c>
      <c r="B49" s="25" t="s">
        <v>286</v>
      </c>
      <c r="C49" s="23">
        <f>COUNTIF(GConsol8[[Comp]:[g4]],GolsJogadores6[[#This Row],[Nome]])</f>
        <v>1</v>
      </c>
      <c r="F49" s="5" t="s">
        <v>172</v>
      </c>
      <c r="G49" s="24">
        <f>GolsJogadores6[[#This Row],[Gols]]</f>
        <v>1</v>
      </c>
      <c r="H49" s="6" t="s">
        <v>41</v>
      </c>
      <c r="I49" s="5" t="s">
        <v>38</v>
      </c>
      <c r="J49" t="s">
        <v>23</v>
      </c>
      <c r="K49" t="s">
        <v>263</v>
      </c>
      <c r="L49" t="s">
        <v>263</v>
      </c>
    </row>
    <row r="50" spans="1:12" x14ac:dyDescent="0.25">
      <c r="A50">
        <f>_xlfn.RANK.EQ(GolsJogadores6[[#This Row],[Gols]],$C$3:$C$100)</f>
        <v>7</v>
      </c>
      <c r="B50" s="5" t="s">
        <v>172</v>
      </c>
      <c r="C50" s="23">
        <f>COUNTIF(GConsol8[[Comp]:[g4]],GolsJogadores6[[#This Row],[Nome]])</f>
        <v>1</v>
      </c>
      <c r="F50" s="5" t="s">
        <v>176</v>
      </c>
      <c r="G50" s="24">
        <f>GolsJogadores6[[#This Row],[Gols]]</f>
        <v>1</v>
      </c>
      <c r="H50" s="15" t="s">
        <v>41</v>
      </c>
      <c r="I50" s="17" t="s">
        <v>38</v>
      </c>
      <c r="J50" t="s">
        <v>23</v>
      </c>
      <c r="K50" t="s">
        <v>263</v>
      </c>
      <c r="L50" t="s">
        <v>263</v>
      </c>
    </row>
    <row r="51" spans="1:12" x14ac:dyDescent="0.25">
      <c r="A51">
        <f>_xlfn.RANK.EQ(GolsJogadores6[[#This Row],[Gols]],$C$3:$C$100)</f>
        <v>7</v>
      </c>
      <c r="B51" s="23" t="s">
        <v>176</v>
      </c>
      <c r="C51" s="23">
        <f>COUNTIF(GConsol8[[Comp]:[g4]],GolsJogadores6[[#This Row],[Nome]])</f>
        <v>1</v>
      </c>
      <c r="F51" t="s">
        <v>287</v>
      </c>
      <c r="G51" s="24">
        <f>GolsJogadores6[[#This Row],[Gols]]</f>
        <v>1</v>
      </c>
      <c r="H51" s="15" t="s">
        <v>41</v>
      </c>
      <c r="I51" s="17" t="s">
        <v>38</v>
      </c>
      <c r="J51" t="s">
        <v>23</v>
      </c>
      <c r="K51" t="s">
        <v>263</v>
      </c>
      <c r="L51" t="s">
        <v>263</v>
      </c>
    </row>
    <row r="52" spans="1:12" x14ac:dyDescent="0.25">
      <c r="A52">
        <f>_xlfn.RANK.EQ(GolsJogadores6[[#This Row],[Gols]],$C$3:$C$100)</f>
        <v>7</v>
      </c>
      <c r="B52" t="s">
        <v>287</v>
      </c>
      <c r="C52" s="23">
        <f>COUNTIF(GConsol8[[Comp]:[g4]],GolsJogadores6[[#This Row],[Nome]])</f>
        <v>1</v>
      </c>
      <c r="F52" t="s">
        <v>167</v>
      </c>
      <c r="G52" s="24">
        <f>GolsJogadores6[[#This Row],[Gols]]</f>
        <v>1</v>
      </c>
      <c r="H52" s="6" t="s">
        <v>41</v>
      </c>
      <c r="I52" s="5" t="s">
        <v>38</v>
      </c>
      <c r="J52" t="s">
        <v>23</v>
      </c>
      <c r="K52" t="s">
        <v>263</v>
      </c>
      <c r="L52" t="s">
        <v>263</v>
      </c>
    </row>
    <row r="53" spans="1:12" x14ac:dyDescent="0.25">
      <c r="A53">
        <f>_xlfn.RANK.EQ(GolsJogadores6[[#This Row],[Gols]],$C$3:$C$100)</f>
        <v>7</v>
      </c>
      <c r="B53" s="5" t="s">
        <v>182</v>
      </c>
      <c r="C53" s="23">
        <f>COUNTIF(GConsol8[[Comp]:[g4]],GolsJogadores6[[#This Row],[Nome]])</f>
        <v>1</v>
      </c>
      <c r="F53" s="5" t="s">
        <v>182</v>
      </c>
      <c r="G53" s="24">
        <f>GolsJogadores6[[#This Row],[Gols]]</f>
        <v>1</v>
      </c>
      <c r="H53" s="6" t="s">
        <v>41</v>
      </c>
      <c r="I53" s="5" t="s">
        <v>25</v>
      </c>
      <c r="J53" t="s">
        <v>23</v>
      </c>
      <c r="K53" t="s">
        <v>263</v>
      </c>
      <c r="L53" t="s">
        <v>263</v>
      </c>
    </row>
    <row r="54" spans="1:12" x14ac:dyDescent="0.25">
      <c r="A54">
        <f>_xlfn.RANK.EQ(GolsJogadores6[[#This Row],[Gols]],$C$3:$C$100)</f>
        <v>7</v>
      </c>
      <c r="B54" s="5" t="s">
        <v>288</v>
      </c>
      <c r="C54" s="23">
        <f>COUNTIF(GConsol8[[Comp]:[g4]],GolsJogadores6[[#This Row],[Nome]])</f>
        <v>1</v>
      </c>
      <c r="F54" s="5" t="s">
        <v>288</v>
      </c>
      <c r="G54" s="24">
        <f>GolsJogadores6[[#This Row],[Gols]]</f>
        <v>1</v>
      </c>
      <c r="H54" s="6" t="s">
        <v>41</v>
      </c>
      <c r="I54" s="5" t="s">
        <v>38</v>
      </c>
      <c r="J54" t="s">
        <v>137</v>
      </c>
      <c r="K54" t="s">
        <v>263</v>
      </c>
      <c r="L54" t="s">
        <v>263</v>
      </c>
    </row>
    <row r="55" spans="1:12" x14ac:dyDescent="0.25">
      <c r="A55">
        <f>_xlfn.RANK.EQ(GolsJogadores6[[#This Row],[Gols]],$C$3:$C$100)</f>
        <v>7</v>
      </c>
      <c r="B55" t="s">
        <v>289</v>
      </c>
      <c r="C55" s="23">
        <f>COUNTIF(GConsol8[[Comp]:[g4]],GolsJogadores6[[#This Row],[Nome]])</f>
        <v>1</v>
      </c>
      <c r="F55" t="s">
        <v>289</v>
      </c>
      <c r="G55" s="24">
        <f>GolsJogadores6[[#This Row],[Gols]]</f>
        <v>1</v>
      </c>
      <c r="H55" s="6" t="s">
        <v>41</v>
      </c>
      <c r="I55" s="5" t="s">
        <v>38</v>
      </c>
      <c r="J55" t="s">
        <v>23</v>
      </c>
      <c r="K55" t="s">
        <v>263</v>
      </c>
      <c r="L55" t="s">
        <v>263</v>
      </c>
    </row>
    <row r="56" spans="1:12" x14ac:dyDescent="0.25">
      <c r="B56"/>
      <c r="H56" s="6" t="s">
        <v>41</v>
      </c>
      <c r="I56" s="5" t="s">
        <v>38</v>
      </c>
      <c r="J56" t="s">
        <v>140</v>
      </c>
      <c r="K56" t="s">
        <v>263</v>
      </c>
      <c r="L56" t="s">
        <v>263</v>
      </c>
    </row>
    <row r="57" spans="1:12" x14ac:dyDescent="0.25">
      <c r="B57"/>
      <c r="H57" s="6" t="s">
        <v>41</v>
      </c>
      <c r="I57" s="5" t="s">
        <v>38</v>
      </c>
      <c r="J57" t="s">
        <v>143</v>
      </c>
      <c r="K57" t="s">
        <v>263</v>
      </c>
      <c r="L57" t="s">
        <v>263</v>
      </c>
    </row>
    <row r="58" spans="1:12" x14ac:dyDescent="0.25">
      <c r="B58"/>
      <c r="H58" s="6" t="s">
        <v>41</v>
      </c>
      <c r="I58" s="5" t="s">
        <v>38</v>
      </c>
      <c r="J58" t="s">
        <v>280</v>
      </c>
      <c r="K58" t="s">
        <v>283</v>
      </c>
      <c r="L58" t="s">
        <v>282</v>
      </c>
    </row>
    <row r="59" spans="1:12" x14ac:dyDescent="0.25">
      <c r="B59"/>
      <c r="H59" s="6" t="s">
        <v>31</v>
      </c>
      <c r="I59" s="5" t="s">
        <v>148</v>
      </c>
      <c r="J59" t="s">
        <v>23</v>
      </c>
      <c r="K59" t="s">
        <v>263</v>
      </c>
      <c r="L59" t="s">
        <v>263</v>
      </c>
    </row>
    <row r="60" spans="1:12" x14ac:dyDescent="0.25">
      <c r="B60"/>
      <c r="H60" s="6" t="s">
        <v>31</v>
      </c>
      <c r="I60" s="5" t="s">
        <v>25</v>
      </c>
      <c r="J60" t="s">
        <v>115</v>
      </c>
      <c r="K60" t="s">
        <v>115</v>
      </c>
      <c r="L60" t="s">
        <v>263</v>
      </c>
    </row>
    <row r="61" spans="1:12" x14ac:dyDescent="0.25">
      <c r="B61"/>
      <c r="H61" s="6" t="s">
        <v>31</v>
      </c>
      <c r="I61" s="5" t="s">
        <v>38</v>
      </c>
      <c r="J61" t="s">
        <v>155</v>
      </c>
      <c r="K61" t="s">
        <v>263</v>
      </c>
      <c r="L61" t="s">
        <v>263</v>
      </c>
    </row>
    <row r="62" spans="1:12" x14ac:dyDescent="0.25">
      <c r="B62"/>
      <c r="H62" s="6" t="s">
        <v>31</v>
      </c>
      <c r="I62" s="5" t="s">
        <v>38</v>
      </c>
      <c r="J62" t="s">
        <v>23</v>
      </c>
      <c r="K62" t="s">
        <v>263</v>
      </c>
      <c r="L62" t="s">
        <v>263</v>
      </c>
    </row>
    <row r="63" spans="1:12" x14ac:dyDescent="0.25">
      <c r="B63"/>
      <c r="H63" s="6" t="s">
        <v>31</v>
      </c>
      <c r="I63" s="5" t="s">
        <v>25</v>
      </c>
      <c r="J63" t="s">
        <v>281</v>
      </c>
      <c r="K63" t="s">
        <v>262</v>
      </c>
      <c r="L63" t="s">
        <v>284</v>
      </c>
    </row>
    <row r="64" spans="1:12" x14ac:dyDescent="0.25">
      <c r="B64"/>
      <c r="H64" s="6" t="s">
        <v>85</v>
      </c>
      <c r="I64" s="5" t="s">
        <v>38</v>
      </c>
      <c r="J64" t="s">
        <v>23</v>
      </c>
      <c r="K64" t="s">
        <v>263</v>
      </c>
      <c r="L64" t="s">
        <v>263</v>
      </c>
    </row>
    <row r="65" spans="2:13" x14ac:dyDescent="0.25">
      <c r="B65"/>
      <c r="H65" s="6" t="s">
        <v>31</v>
      </c>
      <c r="I65" s="5" t="s">
        <v>25</v>
      </c>
      <c r="J65" t="s">
        <v>262</v>
      </c>
      <c r="K65" t="s">
        <v>262</v>
      </c>
      <c r="L65" t="s">
        <v>285</v>
      </c>
    </row>
    <row r="66" spans="2:13" x14ac:dyDescent="0.25">
      <c r="B66"/>
      <c r="H66" s="6" t="s">
        <v>290</v>
      </c>
      <c r="I66" s="5" t="s">
        <v>163</v>
      </c>
      <c r="J66" s="5" t="s">
        <v>165</v>
      </c>
    </row>
    <row r="67" spans="2:13" x14ac:dyDescent="0.25">
      <c r="B67"/>
      <c r="H67" s="6" t="s">
        <v>290</v>
      </c>
      <c r="I67" s="5" t="s">
        <v>25</v>
      </c>
      <c r="J67" s="5" t="s">
        <v>167</v>
      </c>
    </row>
    <row r="68" spans="2:13" x14ac:dyDescent="0.25">
      <c r="B68"/>
      <c r="H68" s="6" t="s">
        <v>290</v>
      </c>
      <c r="I68" s="5" t="s">
        <v>25</v>
      </c>
      <c r="J68" s="5" t="s">
        <v>286</v>
      </c>
      <c r="K68" t="s">
        <v>185</v>
      </c>
      <c r="L68" t="s">
        <v>291</v>
      </c>
      <c r="M68" t="s">
        <v>292</v>
      </c>
    </row>
    <row r="69" spans="2:13" x14ac:dyDescent="0.25">
      <c r="B69"/>
      <c r="H69" s="6" t="s">
        <v>290</v>
      </c>
      <c r="I69" s="5" t="s">
        <v>38</v>
      </c>
      <c r="J69" s="5" t="s">
        <v>172</v>
      </c>
    </row>
    <row r="70" spans="2:13" x14ac:dyDescent="0.25">
      <c r="B70"/>
      <c r="H70" s="6" t="s">
        <v>290</v>
      </c>
      <c r="I70" s="5" t="s">
        <v>175</v>
      </c>
      <c r="J70" s="5" t="s">
        <v>176</v>
      </c>
    </row>
    <row r="71" spans="2:13" x14ac:dyDescent="0.25">
      <c r="B71"/>
      <c r="H71" s="6" t="s">
        <v>290</v>
      </c>
      <c r="I71" s="5" t="s">
        <v>44</v>
      </c>
      <c r="J71" s="5" t="s">
        <v>287</v>
      </c>
      <c r="K71" t="s">
        <v>167</v>
      </c>
    </row>
    <row r="72" spans="2:13" x14ac:dyDescent="0.25">
      <c r="B72"/>
      <c r="H72" s="6" t="s">
        <v>293</v>
      </c>
      <c r="I72" s="5" t="s">
        <v>38</v>
      </c>
      <c r="J72" s="5" t="s">
        <v>182</v>
      </c>
    </row>
    <row r="73" spans="2:13" x14ac:dyDescent="0.25">
      <c r="B73"/>
      <c r="H73" s="6" t="s">
        <v>293</v>
      </c>
      <c r="I73" s="5" t="s">
        <v>25</v>
      </c>
      <c r="J73" s="5" t="s">
        <v>185</v>
      </c>
    </row>
    <row r="74" spans="2:13" x14ac:dyDescent="0.25">
      <c r="B74"/>
      <c r="H74" s="6" t="s">
        <v>11</v>
      </c>
      <c r="I74" s="5" t="s">
        <v>38</v>
      </c>
      <c r="J74" s="5" t="s">
        <v>288</v>
      </c>
      <c r="K74" t="s">
        <v>289</v>
      </c>
    </row>
    <row r="75" spans="2:13" x14ac:dyDescent="0.25">
      <c r="B75"/>
    </row>
    <row r="76" spans="2:13" x14ac:dyDescent="0.25">
      <c r="B76"/>
    </row>
    <row r="77" spans="2:13" x14ac:dyDescent="0.25">
      <c r="B77"/>
    </row>
    <row r="78" spans="2:13" x14ac:dyDescent="0.25">
      <c r="B78"/>
    </row>
    <row r="79" spans="2:13" x14ac:dyDescent="0.25">
      <c r="B79"/>
    </row>
    <row r="80" spans="2:13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  <row r="113" spans="2:2" x14ac:dyDescent="0.25">
      <c r="B113"/>
    </row>
    <row r="114" spans="2:2" x14ac:dyDescent="0.25">
      <c r="B114"/>
    </row>
    <row r="115" spans="2:2" x14ac:dyDescent="0.25">
      <c r="B115"/>
    </row>
    <row r="116" spans="2:2" x14ac:dyDescent="0.25">
      <c r="B116"/>
    </row>
    <row r="117" spans="2:2" x14ac:dyDescent="0.25">
      <c r="B117"/>
    </row>
    <row r="118" spans="2:2" x14ac:dyDescent="0.25">
      <c r="B118"/>
    </row>
    <row r="119" spans="2:2" x14ac:dyDescent="0.25">
      <c r="B119"/>
    </row>
    <row r="120" spans="2:2" x14ac:dyDescent="0.25">
      <c r="B120"/>
    </row>
    <row r="121" spans="2:2" x14ac:dyDescent="0.25">
      <c r="B121"/>
    </row>
    <row r="122" spans="2:2" x14ac:dyDescent="0.25">
      <c r="B122"/>
    </row>
    <row r="123" spans="2:2" x14ac:dyDescent="0.25">
      <c r="B123"/>
    </row>
    <row r="124" spans="2:2" x14ac:dyDescent="0.25">
      <c r="B124"/>
    </row>
    <row r="125" spans="2:2" x14ac:dyDescent="0.25">
      <c r="B125"/>
    </row>
    <row r="126" spans="2:2" x14ac:dyDescent="0.25">
      <c r="B126"/>
    </row>
    <row r="127" spans="2:2" x14ac:dyDescent="0.25">
      <c r="B127"/>
    </row>
    <row r="128" spans="2:2" x14ac:dyDescent="0.25">
      <c r="B128"/>
    </row>
    <row r="129" spans="2:2" x14ac:dyDescent="0.25">
      <c r="B129"/>
    </row>
    <row r="130" spans="2:2" x14ac:dyDescent="0.25">
      <c r="B130"/>
    </row>
    <row r="131" spans="2:2" x14ac:dyDescent="0.25">
      <c r="B131"/>
    </row>
    <row r="132" spans="2:2" x14ac:dyDescent="0.25">
      <c r="B132"/>
    </row>
    <row r="133" spans="2:2" x14ac:dyDescent="0.25">
      <c r="B133"/>
    </row>
    <row r="134" spans="2:2" x14ac:dyDescent="0.25">
      <c r="B134"/>
    </row>
    <row r="135" spans="2:2" x14ac:dyDescent="0.25">
      <c r="B135"/>
    </row>
    <row r="136" spans="2:2" x14ac:dyDescent="0.25">
      <c r="B136"/>
    </row>
    <row r="137" spans="2:2" x14ac:dyDescent="0.25">
      <c r="B137"/>
    </row>
    <row r="138" spans="2:2" x14ac:dyDescent="0.25">
      <c r="B138"/>
    </row>
    <row r="139" spans="2:2" x14ac:dyDescent="0.25">
      <c r="B139"/>
    </row>
    <row r="140" spans="2:2" x14ac:dyDescent="0.25">
      <c r="B140"/>
    </row>
    <row r="141" spans="2:2" x14ac:dyDescent="0.25">
      <c r="B141"/>
    </row>
    <row r="142" spans="2:2" x14ac:dyDescent="0.25">
      <c r="B142"/>
    </row>
    <row r="143" spans="2:2" x14ac:dyDescent="0.25">
      <c r="B143"/>
    </row>
    <row r="144" spans="2:2" x14ac:dyDescent="0.25">
      <c r="B144"/>
    </row>
    <row r="145" spans="2:2" x14ac:dyDescent="0.25">
      <c r="B145"/>
    </row>
    <row r="146" spans="2:2" x14ac:dyDescent="0.25">
      <c r="B146"/>
    </row>
    <row r="147" spans="2:2" x14ac:dyDescent="0.25">
      <c r="B147"/>
    </row>
    <row r="148" spans="2:2" x14ac:dyDescent="0.25">
      <c r="B148"/>
    </row>
    <row r="149" spans="2:2" x14ac:dyDescent="0.25">
      <c r="B149"/>
    </row>
    <row r="150" spans="2:2" x14ac:dyDescent="0.25">
      <c r="B150"/>
    </row>
    <row r="151" spans="2:2" x14ac:dyDescent="0.25">
      <c r="B151"/>
    </row>
    <row r="152" spans="2:2" x14ac:dyDescent="0.25">
      <c r="B152"/>
    </row>
    <row r="153" spans="2:2" x14ac:dyDescent="0.25">
      <c r="B153"/>
    </row>
    <row r="154" spans="2:2" x14ac:dyDescent="0.25">
      <c r="B154"/>
    </row>
    <row r="155" spans="2:2" x14ac:dyDescent="0.25">
      <c r="B155"/>
    </row>
    <row r="156" spans="2:2" x14ac:dyDescent="0.25">
      <c r="B156"/>
    </row>
    <row r="157" spans="2:2" x14ac:dyDescent="0.25">
      <c r="B157"/>
    </row>
    <row r="158" spans="2:2" x14ac:dyDescent="0.25">
      <c r="B158"/>
    </row>
    <row r="159" spans="2:2" x14ac:dyDescent="0.25">
      <c r="B159"/>
    </row>
    <row r="160" spans="2:2" x14ac:dyDescent="0.25">
      <c r="B160"/>
    </row>
    <row r="161" spans="2:2" x14ac:dyDescent="0.25">
      <c r="B161"/>
    </row>
    <row r="162" spans="2:2" x14ac:dyDescent="0.25">
      <c r="B162"/>
    </row>
    <row r="163" spans="2:2" x14ac:dyDescent="0.25">
      <c r="B163"/>
    </row>
    <row r="164" spans="2:2" x14ac:dyDescent="0.25">
      <c r="B164"/>
    </row>
    <row r="165" spans="2:2" x14ac:dyDescent="0.25">
      <c r="B165"/>
    </row>
    <row r="166" spans="2:2" x14ac:dyDescent="0.25">
      <c r="B166"/>
    </row>
    <row r="167" spans="2:2" x14ac:dyDescent="0.25">
      <c r="B167"/>
    </row>
    <row r="168" spans="2:2" x14ac:dyDescent="0.25">
      <c r="B168"/>
    </row>
    <row r="169" spans="2:2" x14ac:dyDescent="0.25">
      <c r="B169"/>
    </row>
    <row r="170" spans="2:2" x14ac:dyDescent="0.25">
      <c r="B170"/>
    </row>
    <row r="171" spans="2:2" x14ac:dyDescent="0.25">
      <c r="B171"/>
    </row>
    <row r="172" spans="2:2" x14ac:dyDescent="0.25">
      <c r="B172"/>
    </row>
    <row r="173" spans="2:2" x14ac:dyDescent="0.25">
      <c r="B173"/>
    </row>
    <row r="174" spans="2:2" x14ac:dyDescent="0.25">
      <c r="B174"/>
    </row>
    <row r="175" spans="2:2" x14ac:dyDescent="0.25">
      <c r="B175"/>
    </row>
    <row r="176" spans="2:2" x14ac:dyDescent="0.25">
      <c r="B176"/>
    </row>
    <row r="177" spans="2:2" x14ac:dyDescent="0.25">
      <c r="B177"/>
    </row>
    <row r="178" spans="2:2" x14ac:dyDescent="0.25">
      <c r="B178"/>
    </row>
    <row r="179" spans="2:2" x14ac:dyDescent="0.25">
      <c r="B179"/>
    </row>
    <row r="180" spans="2:2" x14ac:dyDescent="0.25">
      <c r="B180"/>
    </row>
    <row r="181" spans="2:2" x14ac:dyDescent="0.25">
      <c r="B181"/>
    </row>
    <row r="182" spans="2:2" x14ac:dyDescent="0.25">
      <c r="B182"/>
    </row>
    <row r="183" spans="2:2" x14ac:dyDescent="0.25">
      <c r="B183"/>
    </row>
    <row r="184" spans="2:2" x14ac:dyDescent="0.25">
      <c r="B184"/>
    </row>
    <row r="185" spans="2:2" x14ac:dyDescent="0.25">
      <c r="B185"/>
    </row>
    <row r="186" spans="2:2" x14ac:dyDescent="0.25">
      <c r="B186"/>
    </row>
  </sheetData>
  <phoneticPr fontId="2" type="noConversion"/>
  <conditionalFormatting sqref="B53">
    <cfRule type="expression" dxfId="52" priority="1">
      <formula>MOD(ROW(),2)=0</formula>
    </cfRule>
  </conditionalFormatting>
  <conditionalFormatting sqref="F53">
    <cfRule type="expression" dxfId="51" priority="2">
      <formula>MOD(ROW(),2)=0</formula>
    </cfRule>
  </conditionalFormatting>
  <conditionalFormatting sqref="H2:H74">
    <cfRule type="expression" dxfId="50" priority="9">
      <formula>MOD(ROW(),2)=0</formula>
    </cfRule>
  </conditionalFormatting>
  <conditionalFormatting sqref="I2:I74">
    <cfRule type="expression" dxfId="49" priority="8">
      <formula>MOD(ROW(),2)=0</formula>
    </cfRule>
  </conditionalFormatting>
  <conditionalFormatting sqref="J68">
    <cfRule type="expression" dxfId="48" priority="4">
      <formula>MOD(ROW(),2)=0</formula>
    </cfRule>
  </conditionalFormatting>
  <conditionalFormatting sqref="J72">
    <cfRule type="expression" dxfId="47" priority="3">
      <formula>MOD(ROW(),2)=0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F8E8-D01D-408C-9FE6-161B2A44B31A}">
  <dimension ref="A1:L165"/>
  <sheetViews>
    <sheetView showGridLines="0" topLeftCell="D41" workbookViewId="0">
      <selection activeCell="I50" sqref="I50"/>
    </sheetView>
  </sheetViews>
  <sheetFormatPr defaultRowHeight="15" x14ac:dyDescent="0.25"/>
  <cols>
    <col min="1" max="2" width="31.5703125" customWidth="1"/>
    <col min="3" max="3" width="20.5703125" customWidth="1"/>
    <col min="4" max="4" width="23.85546875" customWidth="1"/>
    <col min="5" max="5" width="41.42578125" bestFit="1" customWidth="1"/>
    <col min="8" max="8" width="18" bestFit="1" customWidth="1"/>
    <col min="9" max="9" width="21" bestFit="1" customWidth="1"/>
    <col min="10" max="10" width="19.28515625" bestFit="1" customWidth="1"/>
  </cols>
  <sheetData>
    <row r="1" spans="1:9" ht="15.75" thickBot="1" x14ac:dyDescent="0.3">
      <c r="A1" s="8" t="s">
        <v>0</v>
      </c>
      <c r="B1" s="8" t="s">
        <v>1</v>
      </c>
      <c r="C1" s="9" t="s">
        <v>2</v>
      </c>
      <c r="D1" s="10" t="s">
        <v>3</v>
      </c>
      <c r="E1" s="10" t="s">
        <v>6</v>
      </c>
    </row>
    <row r="2" spans="1:9" x14ac:dyDescent="0.25">
      <c r="A2" s="6" t="s">
        <v>10</v>
      </c>
      <c r="B2" s="6" t="s">
        <v>11</v>
      </c>
      <c r="C2" s="12">
        <v>39613</v>
      </c>
      <c r="D2" s="5" t="s">
        <v>12</v>
      </c>
      <c r="E2" s="5" t="s">
        <v>15</v>
      </c>
      <c r="H2" s="5" t="s">
        <v>294</v>
      </c>
      <c r="I2">
        <f t="shared" ref="I2:I33" si="0">COUNTIF(E:E,H2)</f>
        <v>23</v>
      </c>
    </row>
    <row r="3" spans="1:9" x14ac:dyDescent="0.25">
      <c r="A3" s="6" t="s">
        <v>18</v>
      </c>
      <c r="B3" s="6" t="s">
        <v>11</v>
      </c>
      <c r="C3" s="13">
        <v>41098</v>
      </c>
      <c r="D3" s="5" t="s">
        <v>19</v>
      </c>
      <c r="E3" s="5" t="s">
        <v>295</v>
      </c>
      <c r="H3" s="5" t="s">
        <v>210</v>
      </c>
      <c r="I3">
        <f t="shared" si="0"/>
        <v>16</v>
      </c>
    </row>
    <row r="4" spans="1:9" x14ac:dyDescent="0.25">
      <c r="A4" s="6" t="s">
        <v>18</v>
      </c>
      <c r="B4" s="6" t="s">
        <v>11</v>
      </c>
      <c r="C4" s="13">
        <v>41098</v>
      </c>
      <c r="D4" s="5" t="s">
        <v>19</v>
      </c>
      <c r="E4" s="5" t="s">
        <v>296</v>
      </c>
      <c r="H4" s="5" t="s">
        <v>39</v>
      </c>
      <c r="I4">
        <f t="shared" si="0"/>
        <v>11</v>
      </c>
    </row>
    <row r="5" spans="1:9" x14ac:dyDescent="0.25">
      <c r="A5" s="6" t="s">
        <v>24</v>
      </c>
      <c r="B5" s="6" t="s">
        <v>11</v>
      </c>
      <c r="C5" s="13">
        <v>41601</v>
      </c>
      <c r="D5" s="5" t="s">
        <v>25</v>
      </c>
      <c r="E5" s="5" t="s">
        <v>49</v>
      </c>
      <c r="H5" s="5" t="s">
        <v>84</v>
      </c>
      <c r="I5">
        <f t="shared" si="0"/>
        <v>9</v>
      </c>
    </row>
    <row r="6" spans="1:9" x14ac:dyDescent="0.25">
      <c r="A6" s="6" t="s">
        <v>24</v>
      </c>
      <c r="B6" s="6" t="s">
        <v>11</v>
      </c>
      <c r="C6" s="13">
        <v>41601</v>
      </c>
      <c r="D6" s="5" t="s">
        <v>25</v>
      </c>
      <c r="E6" s="5" t="s">
        <v>297</v>
      </c>
      <c r="H6" s="5" t="s">
        <v>298</v>
      </c>
      <c r="I6">
        <f t="shared" si="0"/>
        <v>8</v>
      </c>
    </row>
    <row r="7" spans="1:9" x14ac:dyDescent="0.25">
      <c r="A7" s="6" t="s">
        <v>30</v>
      </c>
      <c r="B7" s="6" t="s">
        <v>31</v>
      </c>
      <c r="C7" s="13">
        <v>42113</v>
      </c>
      <c r="D7" s="5" t="s">
        <v>25</v>
      </c>
      <c r="E7" s="5" t="s">
        <v>33</v>
      </c>
      <c r="H7" s="5" t="s">
        <v>184</v>
      </c>
      <c r="I7">
        <f t="shared" si="0"/>
        <v>5</v>
      </c>
    </row>
    <row r="8" spans="1:9" x14ac:dyDescent="0.25">
      <c r="A8" s="6" t="s">
        <v>299</v>
      </c>
      <c r="B8" s="6" t="s">
        <v>11</v>
      </c>
      <c r="C8" s="13">
        <v>42260</v>
      </c>
      <c r="D8" s="5" t="s">
        <v>25</v>
      </c>
      <c r="E8" s="5" t="s">
        <v>300</v>
      </c>
      <c r="H8" s="5" t="s">
        <v>49</v>
      </c>
      <c r="I8">
        <f t="shared" si="0"/>
        <v>4</v>
      </c>
    </row>
    <row r="9" spans="1:9" x14ac:dyDescent="0.25">
      <c r="A9" s="6" t="s">
        <v>299</v>
      </c>
      <c r="B9" s="6" t="s">
        <v>11</v>
      </c>
      <c r="C9" s="13">
        <v>42260</v>
      </c>
      <c r="D9" s="5" t="s">
        <v>25</v>
      </c>
      <c r="E9" s="5" t="s">
        <v>39</v>
      </c>
      <c r="H9" s="5" t="s">
        <v>207</v>
      </c>
      <c r="I9">
        <f t="shared" si="0"/>
        <v>4</v>
      </c>
    </row>
    <row r="10" spans="1:9" x14ac:dyDescent="0.25">
      <c r="A10" s="6" t="s">
        <v>37</v>
      </c>
      <c r="B10" s="6" t="s">
        <v>11</v>
      </c>
      <c r="C10" s="13">
        <v>42327</v>
      </c>
      <c r="D10" s="5" t="s">
        <v>38</v>
      </c>
      <c r="E10" s="5" t="s">
        <v>39</v>
      </c>
      <c r="H10" s="5" t="s">
        <v>81</v>
      </c>
      <c r="I10">
        <f t="shared" si="0"/>
        <v>3</v>
      </c>
    </row>
    <row r="11" spans="1:9" x14ac:dyDescent="0.25">
      <c r="A11" s="6" t="s">
        <v>40</v>
      </c>
      <c r="B11" s="15" t="s">
        <v>41</v>
      </c>
      <c r="C11" s="13">
        <v>42700</v>
      </c>
      <c r="D11" s="5" t="s">
        <v>25</v>
      </c>
      <c r="E11" s="5" t="s">
        <v>49</v>
      </c>
      <c r="H11" s="5" t="s">
        <v>115</v>
      </c>
      <c r="I11">
        <f t="shared" si="0"/>
        <v>3</v>
      </c>
    </row>
    <row r="12" spans="1:9" x14ac:dyDescent="0.25">
      <c r="A12" s="6" t="s">
        <v>40</v>
      </c>
      <c r="B12" s="15" t="s">
        <v>41</v>
      </c>
      <c r="C12" s="13">
        <v>42700</v>
      </c>
      <c r="D12" s="5" t="s">
        <v>25</v>
      </c>
      <c r="E12" s="5" t="s">
        <v>49</v>
      </c>
      <c r="H12" s="5" t="s">
        <v>127</v>
      </c>
      <c r="I12">
        <f t="shared" si="0"/>
        <v>3</v>
      </c>
    </row>
    <row r="13" spans="1:9" x14ac:dyDescent="0.25">
      <c r="A13" s="6" t="s">
        <v>43</v>
      </c>
      <c r="B13" s="6" t="s">
        <v>31</v>
      </c>
      <c r="C13" s="13">
        <v>42764</v>
      </c>
      <c r="D13" s="5" t="s">
        <v>44</v>
      </c>
      <c r="E13" s="5" t="s">
        <v>294</v>
      </c>
      <c r="H13" s="5" t="s">
        <v>166</v>
      </c>
      <c r="I13">
        <f t="shared" si="0"/>
        <v>3</v>
      </c>
    </row>
    <row r="14" spans="1:9" x14ac:dyDescent="0.25">
      <c r="A14" s="6" t="s">
        <v>48</v>
      </c>
      <c r="B14" s="6" t="s">
        <v>31</v>
      </c>
      <c r="C14" s="13">
        <v>42784</v>
      </c>
      <c r="D14" s="5" t="s">
        <v>38</v>
      </c>
      <c r="E14" s="5" t="s">
        <v>49</v>
      </c>
      <c r="H14" s="5" t="s">
        <v>187</v>
      </c>
      <c r="I14">
        <f t="shared" si="0"/>
        <v>3</v>
      </c>
    </row>
    <row r="15" spans="1:9" x14ac:dyDescent="0.25">
      <c r="A15" s="6" t="s">
        <v>50</v>
      </c>
      <c r="B15" s="6" t="s">
        <v>31</v>
      </c>
      <c r="C15" s="13">
        <v>42806</v>
      </c>
      <c r="D15" s="5" t="s">
        <v>44</v>
      </c>
      <c r="E15" s="5" t="s">
        <v>39</v>
      </c>
      <c r="H15" s="5" t="s">
        <v>301</v>
      </c>
      <c r="I15">
        <f t="shared" si="0"/>
        <v>3</v>
      </c>
    </row>
    <row r="16" spans="1:9" x14ac:dyDescent="0.25">
      <c r="A16" s="6" t="s">
        <v>50</v>
      </c>
      <c r="B16" s="6" t="s">
        <v>31</v>
      </c>
      <c r="C16" s="13">
        <v>42806</v>
      </c>
      <c r="D16" s="5" t="s">
        <v>44</v>
      </c>
      <c r="E16" s="5" t="s">
        <v>302</v>
      </c>
      <c r="H16" s="5" t="s">
        <v>303</v>
      </c>
      <c r="I16">
        <f t="shared" si="0"/>
        <v>2</v>
      </c>
    </row>
    <row r="17" spans="1:12" x14ac:dyDescent="0.25">
      <c r="A17" s="6" t="s">
        <v>43</v>
      </c>
      <c r="B17" s="6" t="s">
        <v>31</v>
      </c>
      <c r="C17" s="13">
        <v>42847</v>
      </c>
      <c r="D17" s="5" t="s">
        <v>25</v>
      </c>
      <c r="E17" s="5" t="s">
        <v>294</v>
      </c>
      <c r="H17" s="5" t="s">
        <v>304</v>
      </c>
      <c r="I17">
        <f t="shared" si="0"/>
        <v>2</v>
      </c>
    </row>
    <row r="18" spans="1:12" x14ac:dyDescent="0.25">
      <c r="A18" s="6" t="s">
        <v>55</v>
      </c>
      <c r="B18" s="6" t="s">
        <v>11</v>
      </c>
      <c r="C18" s="13">
        <v>42876</v>
      </c>
      <c r="D18" s="5" t="s">
        <v>38</v>
      </c>
      <c r="E18" s="5" t="s">
        <v>84</v>
      </c>
      <c r="H18" s="5" t="s">
        <v>107</v>
      </c>
      <c r="I18">
        <f t="shared" si="0"/>
        <v>2</v>
      </c>
    </row>
    <row r="19" spans="1:12" x14ac:dyDescent="0.25">
      <c r="A19" s="6" t="s">
        <v>55</v>
      </c>
      <c r="B19" s="6" t="s">
        <v>11</v>
      </c>
      <c r="C19" s="13">
        <v>42876</v>
      </c>
      <c r="D19" s="5" t="s">
        <v>38</v>
      </c>
      <c r="E19" s="5" t="s">
        <v>305</v>
      </c>
      <c r="H19" s="5" t="s">
        <v>306</v>
      </c>
      <c r="I19">
        <f t="shared" si="0"/>
        <v>2</v>
      </c>
    </row>
    <row r="20" spans="1:12" x14ac:dyDescent="0.25">
      <c r="A20" s="6" t="s">
        <v>58</v>
      </c>
      <c r="B20" s="6" t="s">
        <v>11</v>
      </c>
      <c r="C20" s="13">
        <v>42911</v>
      </c>
      <c r="D20" s="5" t="s">
        <v>38</v>
      </c>
      <c r="E20" s="5" t="s">
        <v>39</v>
      </c>
      <c r="H20" s="5" t="s">
        <v>142</v>
      </c>
      <c r="I20">
        <f t="shared" si="0"/>
        <v>2</v>
      </c>
    </row>
    <row r="21" spans="1:12" x14ac:dyDescent="0.25">
      <c r="A21" s="6" t="s">
        <v>43</v>
      </c>
      <c r="B21" s="6" t="s">
        <v>11</v>
      </c>
      <c r="C21" s="13">
        <v>42973</v>
      </c>
      <c r="D21" s="5" t="s">
        <v>25</v>
      </c>
      <c r="E21" s="5" t="s">
        <v>61</v>
      </c>
      <c r="H21" s="5" t="s">
        <v>160</v>
      </c>
      <c r="I21">
        <f t="shared" si="0"/>
        <v>2</v>
      </c>
      <c r="L21" t="s">
        <v>307</v>
      </c>
    </row>
    <row r="22" spans="1:12" x14ac:dyDescent="0.25">
      <c r="A22" s="6" t="s">
        <v>63</v>
      </c>
      <c r="B22" s="6" t="s">
        <v>11</v>
      </c>
      <c r="C22" s="13">
        <v>43022</v>
      </c>
      <c r="D22" s="5" t="s">
        <v>25</v>
      </c>
      <c r="E22" s="5" t="s">
        <v>39</v>
      </c>
      <c r="H22" s="5" t="s">
        <v>173</v>
      </c>
      <c r="I22">
        <f t="shared" si="0"/>
        <v>2</v>
      </c>
    </row>
    <row r="23" spans="1:12" x14ac:dyDescent="0.25">
      <c r="A23" s="6" t="s">
        <v>64</v>
      </c>
      <c r="B23" s="6" t="s">
        <v>31</v>
      </c>
      <c r="C23" s="13">
        <v>43135</v>
      </c>
      <c r="D23" s="5" t="s">
        <v>38</v>
      </c>
      <c r="E23" s="5" t="s">
        <v>308</v>
      </c>
      <c r="H23" s="5" t="s">
        <v>309</v>
      </c>
      <c r="I23">
        <f t="shared" si="0"/>
        <v>2</v>
      </c>
    </row>
    <row r="24" spans="1:12" x14ac:dyDescent="0.25">
      <c r="A24" s="6" t="s">
        <v>64</v>
      </c>
      <c r="B24" s="6" t="s">
        <v>31</v>
      </c>
      <c r="C24" s="13">
        <v>43135</v>
      </c>
      <c r="D24" s="5" t="s">
        <v>38</v>
      </c>
      <c r="E24" s="5" t="s">
        <v>310</v>
      </c>
      <c r="H24" s="5" t="s">
        <v>15</v>
      </c>
      <c r="I24">
        <f t="shared" si="0"/>
        <v>1</v>
      </c>
    </row>
    <row r="25" spans="1:12" x14ac:dyDescent="0.25">
      <c r="A25" s="6" t="s">
        <v>64</v>
      </c>
      <c r="B25" s="6" t="s">
        <v>31</v>
      </c>
      <c r="C25" s="13">
        <v>43135</v>
      </c>
      <c r="D25" s="5" t="s">
        <v>38</v>
      </c>
      <c r="E25" s="5" t="s">
        <v>311</v>
      </c>
      <c r="H25" s="5" t="s">
        <v>295</v>
      </c>
      <c r="I25">
        <f t="shared" si="0"/>
        <v>1</v>
      </c>
    </row>
    <row r="26" spans="1:12" x14ac:dyDescent="0.25">
      <c r="A26" s="6" t="s">
        <v>43</v>
      </c>
      <c r="B26" s="6" t="s">
        <v>31</v>
      </c>
      <c r="C26" s="13">
        <v>43166</v>
      </c>
      <c r="D26" s="5" t="s">
        <v>44</v>
      </c>
      <c r="E26" s="5" t="s">
        <v>294</v>
      </c>
      <c r="H26" s="5" t="s">
        <v>296</v>
      </c>
      <c r="I26">
        <f t="shared" si="0"/>
        <v>1</v>
      </c>
    </row>
    <row r="27" spans="1:12" x14ac:dyDescent="0.25">
      <c r="A27" s="6" t="s">
        <v>43</v>
      </c>
      <c r="B27" s="6" t="s">
        <v>31</v>
      </c>
      <c r="C27" s="13">
        <v>43188</v>
      </c>
      <c r="D27" s="5" t="s">
        <v>25</v>
      </c>
      <c r="E27" s="5" t="s">
        <v>312</v>
      </c>
      <c r="H27" s="5" t="s">
        <v>297</v>
      </c>
      <c r="I27">
        <f t="shared" si="0"/>
        <v>1</v>
      </c>
    </row>
    <row r="28" spans="1:12" x14ac:dyDescent="0.25">
      <c r="A28" s="6" t="s">
        <v>43</v>
      </c>
      <c r="B28" s="6" t="s">
        <v>31</v>
      </c>
      <c r="C28" s="13">
        <v>43188</v>
      </c>
      <c r="D28" s="5" t="s">
        <v>25</v>
      </c>
      <c r="E28" s="5" t="s">
        <v>313</v>
      </c>
      <c r="H28" s="5" t="s">
        <v>33</v>
      </c>
      <c r="I28">
        <f t="shared" si="0"/>
        <v>1</v>
      </c>
    </row>
    <row r="29" spans="1:12" x14ac:dyDescent="0.25">
      <c r="A29" s="6" t="s">
        <v>43</v>
      </c>
      <c r="B29" s="6" t="s">
        <v>31</v>
      </c>
      <c r="C29" s="13">
        <v>43188</v>
      </c>
      <c r="D29" s="5" t="s">
        <v>25</v>
      </c>
      <c r="E29" s="5" t="s">
        <v>314</v>
      </c>
      <c r="H29" s="5" t="s">
        <v>300</v>
      </c>
      <c r="I29">
        <f t="shared" si="0"/>
        <v>1</v>
      </c>
    </row>
    <row r="30" spans="1:12" x14ac:dyDescent="0.25">
      <c r="A30" s="6" t="s">
        <v>63</v>
      </c>
      <c r="B30" s="6" t="s">
        <v>31</v>
      </c>
      <c r="C30" s="13">
        <v>43191</v>
      </c>
      <c r="D30" s="5" t="s">
        <v>44</v>
      </c>
      <c r="E30" s="5" t="s">
        <v>84</v>
      </c>
      <c r="H30" s="5" t="s">
        <v>302</v>
      </c>
      <c r="I30">
        <f t="shared" si="0"/>
        <v>1</v>
      </c>
    </row>
    <row r="31" spans="1:12" x14ac:dyDescent="0.25">
      <c r="A31" s="6" t="s">
        <v>63</v>
      </c>
      <c r="B31" s="6" t="s">
        <v>31</v>
      </c>
      <c r="C31" s="13">
        <v>43191</v>
      </c>
      <c r="D31" s="5" t="s">
        <v>44</v>
      </c>
      <c r="E31" s="5" t="s">
        <v>84</v>
      </c>
      <c r="H31" s="5" t="s">
        <v>305</v>
      </c>
      <c r="I31">
        <f t="shared" si="0"/>
        <v>1</v>
      </c>
    </row>
    <row r="32" spans="1:12" x14ac:dyDescent="0.25">
      <c r="A32" s="6" t="s">
        <v>63</v>
      </c>
      <c r="B32" s="6" t="s">
        <v>31</v>
      </c>
      <c r="C32" s="13">
        <v>43191</v>
      </c>
      <c r="D32" s="5" t="s">
        <v>44</v>
      </c>
      <c r="E32" s="5" t="s">
        <v>315</v>
      </c>
      <c r="H32" s="5" t="s">
        <v>61</v>
      </c>
      <c r="I32">
        <f t="shared" si="0"/>
        <v>1</v>
      </c>
    </row>
    <row r="33" spans="1:9" x14ac:dyDescent="0.25">
      <c r="A33" s="6" t="s">
        <v>63</v>
      </c>
      <c r="B33" s="6" t="s">
        <v>31</v>
      </c>
      <c r="C33" s="13">
        <v>43198</v>
      </c>
      <c r="D33" s="5" t="s">
        <v>25</v>
      </c>
      <c r="E33" s="5" t="s">
        <v>294</v>
      </c>
      <c r="H33" s="5" t="s">
        <v>308</v>
      </c>
      <c r="I33">
        <f t="shared" si="0"/>
        <v>1</v>
      </c>
    </row>
    <row r="34" spans="1:9" x14ac:dyDescent="0.25">
      <c r="A34" s="6" t="s">
        <v>76</v>
      </c>
      <c r="B34" s="6" t="s">
        <v>11</v>
      </c>
      <c r="C34" s="13">
        <v>43205</v>
      </c>
      <c r="D34" s="5" t="s">
        <v>38</v>
      </c>
      <c r="E34" s="5" t="s">
        <v>316</v>
      </c>
      <c r="H34" s="5" t="s">
        <v>310</v>
      </c>
      <c r="I34">
        <f t="shared" ref="I34:I65" si="1">COUNTIF(E:E,H34)</f>
        <v>1</v>
      </c>
    </row>
    <row r="35" spans="1:9" x14ac:dyDescent="0.25">
      <c r="A35" s="6" t="s">
        <v>76</v>
      </c>
      <c r="B35" s="6" t="s">
        <v>11</v>
      </c>
      <c r="C35" s="13">
        <v>43205</v>
      </c>
      <c r="D35" s="5" t="s">
        <v>38</v>
      </c>
      <c r="E35" s="5" t="s">
        <v>84</v>
      </c>
      <c r="H35" s="5" t="s">
        <v>311</v>
      </c>
      <c r="I35">
        <f t="shared" si="1"/>
        <v>1</v>
      </c>
    </row>
    <row r="36" spans="1:9" x14ac:dyDescent="0.25">
      <c r="A36" s="6" t="s">
        <v>63</v>
      </c>
      <c r="B36" s="6" t="s">
        <v>11</v>
      </c>
      <c r="C36" s="13">
        <v>43222</v>
      </c>
      <c r="D36" s="5" t="s">
        <v>38</v>
      </c>
      <c r="E36" s="5" t="s">
        <v>81</v>
      </c>
      <c r="H36" s="5" t="s">
        <v>312</v>
      </c>
      <c r="I36">
        <f t="shared" si="1"/>
        <v>1</v>
      </c>
    </row>
    <row r="37" spans="1:9" x14ac:dyDescent="0.25">
      <c r="A37" s="6" t="s">
        <v>83</v>
      </c>
      <c r="B37" s="6" t="s">
        <v>11</v>
      </c>
      <c r="C37" s="13">
        <v>43250</v>
      </c>
      <c r="D37" s="5" t="s">
        <v>38</v>
      </c>
      <c r="E37" s="5" t="s">
        <v>84</v>
      </c>
      <c r="H37" s="5" t="s">
        <v>313</v>
      </c>
      <c r="I37">
        <f t="shared" si="1"/>
        <v>1</v>
      </c>
    </row>
    <row r="38" spans="1:9" x14ac:dyDescent="0.25">
      <c r="A38" s="6" t="s">
        <v>55</v>
      </c>
      <c r="B38" s="6" t="s">
        <v>85</v>
      </c>
      <c r="C38" s="13">
        <v>43297</v>
      </c>
      <c r="D38" s="5" t="s">
        <v>38</v>
      </c>
      <c r="E38" s="5" t="s">
        <v>81</v>
      </c>
      <c r="H38" s="5" t="s">
        <v>314</v>
      </c>
      <c r="I38">
        <f t="shared" si="1"/>
        <v>1</v>
      </c>
    </row>
    <row r="39" spans="1:9" x14ac:dyDescent="0.25">
      <c r="A39" s="6" t="s">
        <v>55</v>
      </c>
      <c r="B39" s="6" t="s">
        <v>85</v>
      </c>
      <c r="C39" s="13">
        <v>43297</v>
      </c>
      <c r="D39" s="5" t="s">
        <v>38</v>
      </c>
      <c r="E39" s="5" t="s">
        <v>84</v>
      </c>
      <c r="H39" s="5" t="s">
        <v>315</v>
      </c>
      <c r="I39">
        <f t="shared" si="1"/>
        <v>1</v>
      </c>
    </row>
    <row r="40" spans="1:9" x14ac:dyDescent="0.25">
      <c r="A40" s="6" t="s">
        <v>37</v>
      </c>
      <c r="B40" s="6" t="s">
        <v>11</v>
      </c>
      <c r="C40" s="13">
        <v>43344</v>
      </c>
      <c r="D40" s="5" t="s">
        <v>25</v>
      </c>
      <c r="E40" s="5" t="s">
        <v>294</v>
      </c>
      <c r="H40" s="5" t="s">
        <v>316</v>
      </c>
      <c r="I40">
        <f t="shared" si="1"/>
        <v>1</v>
      </c>
    </row>
    <row r="41" spans="1:9" x14ac:dyDescent="0.25">
      <c r="A41" s="6" t="s">
        <v>48</v>
      </c>
      <c r="B41" s="6" t="s">
        <v>31</v>
      </c>
      <c r="C41" s="13">
        <v>43495</v>
      </c>
      <c r="D41" s="5" t="s">
        <v>89</v>
      </c>
      <c r="E41" s="5" t="s">
        <v>84</v>
      </c>
      <c r="H41" s="5" t="s">
        <v>92</v>
      </c>
      <c r="I41">
        <f t="shared" si="1"/>
        <v>1</v>
      </c>
    </row>
    <row r="42" spans="1:9" x14ac:dyDescent="0.25">
      <c r="A42" s="6" t="s">
        <v>43</v>
      </c>
      <c r="B42" s="6" t="s">
        <v>31</v>
      </c>
      <c r="C42" s="13">
        <v>43513</v>
      </c>
      <c r="D42" s="5" t="s">
        <v>25</v>
      </c>
      <c r="E42" s="5" t="s">
        <v>303</v>
      </c>
      <c r="H42" s="5" t="s">
        <v>317</v>
      </c>
      <c r="I42">
        <f t="shared" si="1"/>
        <v>1</v>
      </c>
    </row>
    <row r="43" spans="1:9" x14ac:dyDescent="0.25">
      <c r="A43" s="6" t="s">
        <v>91</v>
      </c>
      <c r="B43" s="6" t="s">
        <v>31</v>
      </c>
      <c r="C43" s="13">
        <v>43547</v>
      </c>
      <c r="D43" s="5" t="s">
        <v>38</v>
      </c>
      <c r="E43" s="5" t="s">
        <v>92</v>
      </c>
      <c r="H43" s="5" t="s">
        <v>97</v>
      </c>
      <c r="I43">
        <f t="shared" si="1"/>
        <v>1</v>
      </c>
    </row>
    <row r="44" spans="1:9" x14ac:dyDescent="0.25">
      <c r="A44" s="6" t="s">
        <v>91</v>
      </c>
      <c r="B44" s="6" t="s">
        <v>31</v>
      </c>
      <c r="C44" s="13">
        <v>43562</v>
      </c>
      <c r="D44" s="5" t="s">
        <v>25</v>
      </c>
      <c r="E44" s="5" t="s">
        <v>304</v>
      </c>
      <c r="H44" s="5" t="s">
        <v>318</v>
      </c>
      <c r="I44">
        <f t="shared" si="1"/>
        <v>1</v>
      </c>
    </row>
    <row r="45" spans="1:9" x14ac:dyDescent="0.25">
      <c r="A45" s="6" t="s">
        <v>91</v>
      </c>
      <c r="B45" s="6" t="s">
        <v>31</v>
      </c>
      <c r="C45" s="13">
        <v>43562</v>
      </c>
      <c r="D45" s="5" t="s">
        <v>25</v>
      </c>
      <c r="E45" s="5" t="s">
        <v>317</v>
      </c>
      <c r="H45" s="5" t="s">
        <v>319</v>
      </c>
      <c r="I45">
        <f t="shared" si="1"/>
        <v>1</v>
      </c>
    </row>
    <row r="46" spans="1:9" x14ac:dyDescent="0.25">
      <c r="A46" s="6" t="s">
        <v>96</v>
      </c>
      <c r="B46" s="6" t="s">
        <v>11</v>
      </c>
      <c r="C46" s="13">
        <v>43604</v>
      </c>
      <c r="D46" s="5" t="s">
        <v>38</v>
      </c>
      <c r="E46" s="5" t="s">
        <v>97</v>
      </c>
      <c r="H46" s="5" t="s">
        <v>320</v>
      </c>
      <c r="I46">
        <f t="shared" si="1"/>
        <v>1</v>
      </c>
    </row>
    <row r="47" spans="1:9" x14ac:dyDescent="0.25">
      <c r="A47" s="6" t="s">
        <v>43</v>
      </c>
      <c r="B47" s="6" t="s">
        <v>11</v>
      </c>
      <c r="C47" s="13">
        <v>43666</v>
      </c>
      <c r="D47" s="5" t="s">
        <v>38</v>
      </c>
      <c r="E47" s="5" t="s">
        <v>318</v>
      </c>
      <c r="H47" s="5" t="s">
        <v>321</v>
      </c>
      <c r="I47">
        <f t="shared" si="1"/>
        <v>1</v>
      </c>
    </row>
    <row r="48" spans="1:9" x14ac:dyDescent="0.25">
      <c r="A48" s="6" t="s">
        <v>43</v>
      </c>
      <c r="B48" s="6" t="s">
        <v>11</v>
      </c>
      <c r="C48" s="13">
        <v>43666</v>
      </c>
      <c r="D48" s="5" t="s">
        <v>38</v>
      </c>
      <c r="E48" s="5" t="s">
        <v>304</v>
      </c>
      <c r="H48" s="5" t="s">
        <v>322</v>
      </c>
      <c r="I48">
        <f t="shared" si="1"/>
        <v>1</v>
      </c>
    </row>
    <row r="49" spans="1:9" x14ac:dyDescent="0.25">
      <c r="A49" s="6" t="s">
        <v>101</v>
      </c>
      <c r="B49" s="6" t="s">
        <v>11</v>
      </c>
      <c r="C49" s="13">
        <v>43702</v>
      </c>
      <c r="D49" s="5" t="s">
        <v>38</v>
      </c>
      <c r="E49" s="5" t="s">
        <v>319</v>
      </c>
      <c r="H49" s="5" t="s">
        <v>323</v>
      </c>
      <c r="I49">
        <f t="shared" si="1"/>
        <v>1</v>
      </c>
    </row>
    <row r="50" spans="1:9" x14ac:dyDescent="0.25">
      <c r="A50" s="6" t="s">
        <v>101</v>
      </c>
      <c r="B50" s="6" t="s">
        <v>11</v>
      </c>
      <c r="C50" s="13">
        <v>43702</v>
      </c>
      <c r="D50" s="5" t="s">
        <v>38</v>
      </c>
      <c r="E50" s="5" t="s">
        <v>320</v>
      </c>
      <c r="H50" s="5" t="s">
        <v>324</v>
      </c>
      <c r="I50">
        <f t="shared" si="1"/>
        <v>1</v>
      </c>
    </row>
    <row r="51" spans="1:9" x14ac:dyDescent="0.25">
      <c r="A51" s="6" t="s">
        <v>299</v>
      </c>
      <c r="B51" s="6" t="s">
        <v>11</v>
      </c>
      <c r="C51" s="13">
        <v>43730</v>
      </c>
      <c r="D51" s="5" t="s">
        <v>38</v>
      </c>
      <c r="E51" s="5" t="s">
        <v>303</v>
      </c>
      <c r="H51" s="5" t="s">
        <v>169</v>
      </c>
      <c r="I51">
        <f t="shared" si="1"/>
        <v>2</v>
      </c>
    </row>
    <row r="52" spans="1:9" x14ac:dyDescent="0.25">
      <c r="A52" s="6" t="s">
        <v>37</v>
      </c>
      <c r="B52" s="6" t="s">
        <v>11</v>
      </c>
      <c r="C52" s="13">
        <v>43743</v>
      </c>
      <c r="D52" s="5" t="s">
        <v>38</v>
      </c>
      <c r="E52" s="5" t="s">
        <v>294</v>
      </c>
      <c r="H52" s="5" t="s">
        <v>325</v>
      </c>
      <c r="I52">
        <f t="shared" si="1"/>
        <v>1</v>
      </c>
    </row>
    <row r="53" spans="1:9" x14ac:dyDescent="0.25">
      <c r="A53" s="6" t="s">
        <v>105</v>
      </c>
      <c r="B53" s="6" t="s">
        <v>11</v>
      </c>
      <c r="C53" s="13">
        <v>43751</v>
      </c>
      <c r="D53" s="5" t="s">
        <v>38</v>
      </c>
      <c r="E53" s="5" t="s">
        <v>84</v>
      </c>
      <c r="H53" s="5" t="s">
        <v>326</v>
      </c>
      <c r="I53">
        <f t="shared" si="1"/>
        <v>1</v>
      </c>
    </row>
    <row r="54" spans="1:9" x14ac:dyDescent="0.25">
      <c r="A54" s="6" t="s">
        <v>106</v>
      </c>
      <c r="B54" s="6" t="s">
        <v>11</v>
      </c>
      <c r="C54" s="13">
        <v>43787</v>
      </c>
      <c r="D54" s="5" t="s">
        <v>38</v>
      </c>
      <c r="E54" s="5" t="s">
        <v>107</v>
      </c>
      <c r="H54" s="5" t="s">
        <v>327</v>
      </c>
      <c r="I54">
        <f t="shared" si="1"/>
        <v>1</v>
      </c>
    </row>
    <row r="55" spans="1:9" x14ac:dyDescent="0.25">
      <c r="A55" s="6" t="s">
        <v>24</v>
      </c>
      <c r="B55" s="6" t="s">
        <v>11</v>
      </c>
      <c r="C55" s="13">
        <v>43801</v>
      </c>
      <c r="D55" s="5" t="s">
        <v>38</v>
      </c>
      <c r="E55" s="5" t="s">
        <v>107</v>
      </c>
      <c r="H55" s="5" t="s">
        <v>189</v>
      </c>
      <c r="I55">
        <f t="shared" si="1"/>
        <v>2</v>
      </c>
    </row>
    <row r="56" spans="1:9" x14ac:dyDescent="0.25">
      <c r="A56" s="6" t="s">
        <v>109</v>
      </c>
      <c r="B56" s="6" t="s">
        <v>11</v>
      </c>
      <c r="C56" s="13">
        <v>43807</v>
      </c>
      <c r="D56" s="5" t="s">
        <v>25</v>
      </c>
      <c r="E56" s="5" t="s">
        <v>84</v>
      </c>
      <c r="H56" s="5" t="s">
        <v>328</v>
      </c>
      <c r="I56">
        <f t="shared" si="1"/>
        <v>1</v>
      </c>
    </row>
    <row r="57" spans="1:9" x14ac:dyDescent="0.25">
      <c r="A57" s="6" t="s">
        <v>91</v>
      </c>
      <c r="B57" s="6" t="s">
        <v>31</v>
      </c>
      <c r="C57" s="13">
        <v>43849</v>
      </c>
      <c r="D57" s="5" t="s">
        <v>38</v>
      </c>
      <c r="E57" s="5" t="s">
        <v>294</v>
      </c>
      <c r="H57" s="5" t="s">
        <v>329</v>
      </c>
      <c r="I57">
        <f t="shared" si="1"/>
        <v>1</v>
      </c>
    </row>
    <row r="58" spans="1:9" x14ac:dyDescent="0.25">
      <c r="A58" s="6" t="s">
        <v>63</v>
      </c>
      <c r="B58" s="6" t="s">
        <v>31</v>
      </c>
      <c r="C58" s="13">
        <v>43863</v>
      </c>
      <c r="D58" s="5" t="s">
        <v>44</v>
      </c>
      <c r="E58" s="5" t="s">
        <v>294</v>
      </c>
      <c r="H58" s="5" t="s">
        <v>330</v>
      </c>
      <c r="I58">
        <f t="shared" si="1"/>
        <v>1</v>
      </c>
    </row>
    <row r="59" spans="1:9" x14ac:dyDescent="0.25">
      <c r="A59" s="6" t="s">
        <v>113</v>
      </c>
      <c r="B59" s="6" t="s">
        <v>114</v>
      </c>
      <c r="C59" s="13">
        <v>43867</v>
      </c>
      <c r="D59" s="5" t="s">
        <v>38</v>
      </c>
      <c r="E59" s="5" t="s">
        <v>115</v>
      </c>
      <c r="H59" s="5" t="s">
        <v>246</v>
      </c>
      <c r="I59">
        <f t="shared" si="1"/>
        <v>2</v>
      </c>
    </row>
    <row r="60" spans="1:9" x14ac:dyDescent="0.25">
      <c r="A60" s="6" t="s">
        <v>116</v>
      </c>
      <c r="B60" s="6" t="s">
        <v>85</v>
      </c>
      <c r="C60" s="13">
        <v>43895</v>
      </c>
      <c r="D60" s="5" t="s">
        <v>25</v>
      </c>
      <c r="E60" s="5" t="s">
        <v>115</v>
      </c>
      <c r="H60" s="5" t="s">
        <v>331</v>
      </c>
      <c r="I60">
        <f t="shared" si="1"/>
        <v>1</v>
      </c>
    </row>
    <row r="61" spans="1:9" x14ac:dyDescent="0.25">
      <c r="A61" s="6" t="s">
        <v>117</v>
      </c>
      <c r="B61" s="6" t="s">
        <v>41</v>
      </c>
      <c r="C61" s="13">
        <v>44475</v>
      </c>
      <c r="D61" s="5" t="s">
        <v>38</v>
      </c>
      <c r="E61" s="5" t="s">
        <v>115</v>
      </c>
      <c r="H61" s="5" t="s">
        <v>332</v>
      </c>
      <c r="I61">
        <f t="shared" si="1"/>
        <v>1</v>
      </c>
    </row>
    <row r="62" spans="1:9" x14ac:dyDescent="0.25">
      <c r="A62" s="6" t="s">
        <v>117</v>
      </c>
      <c r="B62" s="6" t="s">
        <v>41</v>
      </c>
      <c r="C62" s="13">
        <v>44475</v>
      </c>
      <c r="D62" s="5" t="s">
        <v>38</v>
      </c>
      <c r="E62" s="5" t="s">
        <v>39</v>
      </c>
      <c r="H62" s="5" t="s">
        <v>333</v>
      </c>
      <c r="I62">
        <f t="shared" si="1"/>
        <v>1</v>
      </c>
    </row>
    <row r="63" spans="1:9" x14ac:dyDescent="0.25">
      <c r="A63" s="6" t="s">
        <v>120</v>
      </c>
      <c r="B63" s="6" t="s">
        <v>31</v>
      </c>
      <c r="C63" s="13">
        <v>44598</v>
      </c>
      <c r="D63" s="5" t="s">
        <v>121</v>
      </c>
      <c r="E63" s="5" t="s">
        <v>298</v>
      </c>
      <c r="H63" s="5" t="s">
        <v>334</v>
      </c>
      <c r="I63">
        <f t="shared" si="1"/>
        <v>1</v>
      </c>
    </row>
    <row r="64" spans="1:9" x14ac:dyDescent="0.25">
      <c r="A64" s="6" t="s">
        <v>120</v>
      </c>
      <c r="B64" s="6" t="s">
        <v>31</v>
      </c>
      <c r="C64" s="13">
        <v>44598</v>
      </c>
      <c r="D64" s="5" t="s">
        <v>121</v>
      </c>
      <c r="E64" s="5" t="s">
        <v>306</v>
      </c>
      <c r="H64" s="5" t="s">
        <v>335</v>
      </c>
      <c r="I64">
        <f t="shared" si="1"/>
        <v>1</v>
      </c>
    </row>
    <row r="65" spans="1:9" x14ac:dyDescent="0.25">
      <c r="A65" s="6" t="s">
        <v>120</v>
      </c>
      <c r="B65" s="6" t="s">
        <v>31</v>
      </c>
      <c r="C65" s="13">
        <v>44598</v>
      </c>
      <c r="D65" s="5" t="s">
        <v>121</v>
      </c>
      <c r="E65" s="5" t="s">
        <v>306</v>
      </c>
      <c r="H65" s="5" t="s">
        <v>336</v>
      </c>
      <c r="I65">
        <f t="shared" si="1"/>
        <v>1</v>
      </c>
    </row>
    <row r="66" spans="1:9" x14ac:dyDescent="0.25">
      <c r="A66" s="6" t="s">
        <v>30</v>
      </c>
      <c r="B66" s="6" t="s">
        <v>31</v>
      </c>
      <c r="C66" s="13">
        <v>44636</v>
      </c>
      <c r="D66" s="5" t="s">
        <v>25</v>
      </c>
      <c r="E66" s="5" t="s">
        <v>294</v>
      </c>
      <c r="H66" s="5" t="s">
        <v>337</v>
      </c>
      <c r="I66">
        <f t="shared" ref="I66:I67" si="2">COUNTIF(E:E,H66)</f>
        <v>1</v>
      </c>
    </row>
    <row r="67" spans="1:9" x14ac:dyDescent="0.25">
      <c r="A67" s="6" t="s">
        <v>30</v>
      </c>
      <c r="B67" s="6" t="s">
        <v>31</v>
      </c>
      <c r="C67" s="13">
        <v>44642</v>
      </c>
      <c r="D67" s="5" t="s">
        <v>25</v>
      </c>
      <c r="E67" s="5" t="s">
        <v>294</v>
      </c>
      <c r="H67" s="34" t="s">
        <v>338</v>
      </c>
      <c r="I67">
        <f t="shared" si="2"/>
        <v>1</v>
      </c>
    </row>
    <row r="68" spans="1:9" x14ac:dyDescent="0.25">
      <c r="A68" s="6" t="s">
        <v>126</v>
      </c>
      <c r="B68" s="6" t="s">
        <v>41</v>
      </c>
      <c r="C68" s="13">
        <v>44659</v>
      </c>
      <c r="D68" s="5" t="s">
        <v>38</v>
      </c>
      <c r="E68" s="5" t="s">
        <v>127</v>
      </c>
    </row>
    <row r="69" spans="1:9" x14ac:dyDescent="0.25">
      <c r="A69" s="6" t="s">
        <v>129</v>
      </c>
      <c r="B69" s="6" t="s">
        <v>41</v>
      </c>
      <c r="C69" s="13">
        <v>44678</v>
      </c>
      <c r="D69" s="5" t="s">
        <v>38</v>
      </c>
      <c r="E69" s="5" t="s">
        <v>127</v>
      </c>
    </row>
    <row r="70" spans="1:9" x14ac:dyDescent="0.25">
      <c r="A70" s="15" t="s">
        <v>130</v>
      </c>
      <c r="B70" s="15" t="s">
        <v>41</v>
      </c>
      <c r="C70" s="16">
        <v>44707</v>
      </c>
      <c r="D70" s="17" t="s">
        <v>38</v>
      </c>
      <c r="E70" s="5" t="s">
        <v>39</v>
      </c>
    </row>
    <row r="71" spans="1:9" x14ac:dyDescent="0.25">
      <c r="A71" s="15" t="s">
        <v>130</v>
      </c>
      <c r="B71" s="15" t="s">
        <v>41</v>
      </c>
      <c r="C71" s="16">
        <v>44707</v>
      </c>
      <c r="D71" s="17" t="s">
        <v>38</v>
      </c>
      <c r="E71" s="5" t="s">
        <v>39</v>
      </c>
    </row>
    <row r="72" spans="1:9" x14ac:dyDescent="0.25">
      <c r="A72" s="15" t="s">
        <v>132</v>
      </c>
      <c r="B72" s="15" t="s">
        <v>41</v>
      </c>
      <c r="C72" s="16">
        <v>44714</v>
      </c>
      <c r="D72" s="17" t="s">
        <v>38</v>
      </c>
      <c r="E72" s="17" t="s">
        <v>294</v>
      </c>
    </row>
    <row r="73" spans="1:9" x14ac:dyDescent="0.25">
      <c r="A73" s="6" t="s">
        <v>133</v>
      </c>
      <c r="B73" s="6" t="s">
        <v>41</v>
      </c>
      <c r="C73" s="16">
        <v>44736</v>
      </c>
      <c r="D73" s="5" t="s">
        <v>38</v>
      </c>
      <c r="E73" s="5" t="s">
        <v>321</v>
      </c>
    </row>
    <row r="74" spans="1:9" x14ac:dyDescent="0.25">
      <c r="A74" s="6" t="s">
        <v>133</v>
      </c>
      <c r="B74" s="6" t="s">
        <v>41</v>
      </c>
      <c r="C74" s="16">
        <v>44736</v>
      </c>
      <c r="D74" s="5" t="s">
        <v>38</v>
      </c>
      <c r="E74" s="5" t="s">
        <v>39</v>
      </c>
    </row>
    <row r="75" spans="1:9" x14ac:dyDescent="0.25">
      <c r="A75" s="6" t="s">
        <v>133</v>
      </c>
      <c r="B75" s="6" t="s">
        <v>41</v>
      </c>
      <c r="C75" s="16">
        <v>44736</v>
      </c>
      <c r="D75" s="5" t="s">
        <v>38</v>
      </c>
      <c r="E75" s="5" t="s">
        <v>322</v>
      </c>
    </row>
    <row r="76" spans="1:9" x14ac:dyDescent="0.25">
      <c r="A76" s="15" t="s">
        <v>18</v>
      </c>
      <c r="B76" s="6" t="s">
        <v>41</v>
      </c>
      <c r="C76" s="16">
        <v>44745</v>
      </c>
      <c r="D76" s="5" t="s">
        <v>25</v>
      </c>
      <c r="E76" s="5" t="s">
        <v>294</v>
      </c>
    </row>
    <row r="77" spans="1:9" x14ac:dyDescent="0.25">
      <c r="A77" s="6" t="s">
        <v>136</v>
      </c>
      <c r="B77" s="6" t="s">
        <v>41</v>
      </c>
      <c r="C77" s="16">
        <v>44763</v>
      </c>
      <c r="D77" s="5" t="s">
        <v>38</v>
      </c>
      <c r="E77" s="5" t="s">
        <v>127</v>
      </c>
    </row>
    <row r="78" spans="1:9" x14ac:dyDescent="0.25">
      <c r="A78" s="15" t="s">
        <v>109</v>
      </c>
      <c r="B78" s="6" t="s">
        <v>41</v>
      </c>
      <c r="C78" s="16">
        <v>44773</v>
      </c>
      <c r="D78" s="5" t="s">
        <v>38</v>
      </c>
      <c r="E78" s="5" t="s">
        <v>294</v>
      </c>
    </row>
    <row r="79" spans="1:9" x14ac:dyDescent="0.25">
      <c r="A79" s="6" t="s">
        <v>138</v>
      </c>
      <c r="B79" s="6" t="s">
        <v>41</v>
      </c>
      <c r="C79" s="16">
        <v>44804</v>
      </c>
      <c r="D79" s="5" t="s">
        <v>38</v>
      </c>
      <c r="E79" s="5" t="s">
        <v>39</v>
      </c>
    </row>
    <row r="80" spans="1:9" x14ac:dyDescent="0.25">
      <c r="A80" s="6" t="s">
        <v>138</v>
      </c>
      <c r="B80" s="6" t="s">
        <v>41</v>
      </c>
      <c r="C80" s="16">
        <v>44804</v>
      </c>
      <c r="D80" s="5" t="s">
        <v>38</v>
      </c>
      <c r="E80" s="5" t="s">
        <v>323</v>
      </c>
    </row>
    <row r="81" spans="1:5" x14ac:dyDescent="0.25">
      <c r="A81" s="6" t="s">
        <v>141</v>
      </c>
      <c r="B81" s="6" t="s">
        <v>41</v>
      </c>
      <c r="C81" s="16">
        <v>44824</v>
      </c>
      <c r="D81" s="5" t="s">
        <v>38</v>
      </c>
      <c r="E81" s="5" t="s">
        <v>142</v>
      </c>
    </row>
    <row r="82" spans="1:5" x14ac:dyDescent="0.25">
      <c r="A82" s="6" t="s">
        <v>144</v>
      </c>
      <c r="B82" s="6" t="s">
        <v>41</v>
      </c>
      <c r="C82" s="16">
        <v>44861</v>
      </c>
      <c r="D82" s="5" t="s">
        <v>38</v>
      </c>
      <c r="E82" s="5" t="s">
        <v>324</v>
      </c>
    </row>
    <row r="83" spans="1:5" x14ac:dyDescent="0.25">
      <c r="A83" s="6" t="s">
        <v>144</v>
      </c>
      <c r="B83" s="6" t="s">
        <v>41</v>
      </c>
      <c r="C83" s="16">
        <v>44861</v>
      </c>
      <c r="D83" s="5" t="s">
        <v>38</v>
      </c>
      <c r="E83" s="5" t="s">
        <v>142</v>
      </c>
    </row>
    <row r="84" spans="1:5" x14ac:dyDescent="0.25">
      <c r="A84" s="6" t="s">
        <v>48</v>
      </c>
      <c r="B84" s="6" t="s">
        <v>31</v>
      </c>
      <c r="C84" s="16">
        <v>44951</v>
      </c>
      <c r="D84" s="5" t="s">
        <v>148</v>
      </c>
      <c r="E84" s="5" t="s">
        <v>39</v>
      </c>
    </row>
    <row r="85" spans="1:5" x14ac:dyDescent="0.25">
      <c r="A85" s="6" t="s">
        <v>48</v>
      </c>
      <c r="B85" s="6" t="s">
        <v>31</v>
      </c>
      <c r="C85" s="16">
        <v>44951</v>
      </c>
      <c r="D85" s="5" t="s">
        <v>148</v>
      </c>
      <c r="E85" s="5" t="s">
        <v>298</v>
      </c>
    </row>
    <row r="86" spans="1:5" x14ac:dyDescent="0.25">
      <c r="A86" s="15" t="s">
        <v>43</v>
      </c>
      <c r="B86" s="6" t="s">
        <v>31</v>
      </c>
      <c r="C86" s="16">
        <v>44969</v>
      </c>
      <c r="D86" s="5" t="s">
        <v>25</v>
      </c>
      <c r="E86" s="5" t="s">
        <v>294</v>
      </c>
    </row>
    <row r="87" spans="1:5" x14ac:dyDescent="0.25">
      <c r="A87" s="6" t="s">
        <v>152</v>
      </c>
      <c r="B87" s="6" t="s">
        <v>31</v>
      </c>
      <c r="C87" s="16">
        <v>44984</v>
      </c>
      <c r="D87" s="5" t="s">
        <v>38</v>
      </c>
      <c r="E87" s="5" t="s">
        <v>166</v>
      </c>
    </row>
    <row r="88" spans="1:5" x14ac:dyDescent="0.25">
      <c r="A88" s="6" t="s">
        <v>152</v>
      </c>
      <c r="B88" s="6" t="s">
        <v>31</v>
      </c>
      <c r="C88" s="16">
        <v>44984</v>
      </c>
      <c r="D88" s="5" t="s">
        <v>38</v>
      </c>
      <c r="E88" s="5" t="s">
        <v>187</v>
      </c>
    </row>
    <row r="89" spans="1:5" x14ac:dyDescent="0.25">
      <c r="A89" s="6" t="s">
        <v>152</v>
      </c>
      <c r="B89" s="6" t="s">
        <v>31</v>
      </c>
      <c r="C89" s="16">
        <v>44984</v>
      </c>
      <c r="D89" s="5" t="s">
        <v>38</v>
      </c>
      <c r="E89" s="5" t="s">
        <v>301</v>
      </c>
    </row>
    <row r="90" spans="1:5" x14ac:dyDescent="0.25">
      <c r="A90" s="6" t="s">
        <v>91</v>
      </c>
      <c r="B90" s="6" t="s">
        <v>31</v>
      </c>
      <c r="C90" s="16">
        <v>44994</v>
      </c>
      <c r="D90" s="5" t="s">
        <v>38</v>
      </c>
      <c r="E90" s="5" t="s">
        <v>298</v>
      </c>
    </row>
    <row r="91" spans="1:5" x14ac:dyDescent="0.25">
      <c r="A91" s="6" t="s">
        <v>91</v>
      </c>
      <c r="B91" s="6" t="s">
        <v>31</v>
      </c>
      <c r="C91" s="16">
        <v>44994</v>
      </c>
      <c r="D91" s="5" t="s">
        <v>38</v>
      </c>
      <c r="E91" s="5" t="s">
        <v>166</v>
      </c>
    </row>
    <row r="92" spans="1:5" x14ac:dyDescent="0.25">
      <c r="A92" s="15" t="s">
        <v>30</v>
      </c>
      <c r="B92" s="6" t="s">
        <v>31</v>
      </c>
      <c r="C92" s="16">
        <v>44998</v>
      </c>
      <c r="D92" s="5" t="s">
        <v>25</v>
      </c>
      <c r="E92" s="5" t="s">
        <v>298</v>
      </c>
    </row>
    <row r="93" spans="1:5" x14ac:dyDescent="0.25">
      <c r="A93" s="15" t="s">
        <v>30</v>
      </c>
      <c r="B93" s="6" t="s">
        <v>31</v>
      </c>
      <c r="C93" s="16">
        <v>44998</v>
      </c>
      <c r="D93" s="5" t="s">
        <v>25</v>
      </c>
      <c r="E93" s="5" t="s">
        <v>187</v>
      </c>
    </row>
    <row r="94" spans="1:5" x14ac:dyDescent="0.25">
      <c r="A94" s="15" t="s">
        <v>116</v>
      </c>
      <c r="B94" s="6" t="s">
        <v>85</v>
      </c>
      <c r="C94" s="13">
        <v>45001</v>
      </c>
      <c r="D94" s="5" t="s">
        <v>38</v>
      </c>
      <c r="E94" s="5" t="s">
        <v>294</v>
      </c>
    </row>
    <row r="95" spans="1:5" x14ac:dyDescent="0.25">
      <c r="A95" s="15" t="s">
        <v>30</v>
      </c>
      <c r="B95" s="6" t="s">
        <v>31</v>
      </c>
      <c r="C95" s="16">
        <v>45004</v>
      </c>
      <c r="D95" s="5" t="s">
        <v>25</v>
      </c>
      <c r="E95" s="5" t="s">
        <v>160</v>
      </c>
    </row>
    <row r="96" spans="1:5" x14ac:dyDescent="0.25">
      <c r="A96" s="15" t="s">
        <v>162</v>
      </c>
      <c r="B96" s="6" t="s">
        <v>11</v>
      </c>
      <c r="C96" s="16">
        <v>45031</v>
      </c>
      <c r="D96" s="5" t="s">
        <v>163</v>
      </c>
      <c r="E96" s="5" t="s">
        <v>81</v>
      </c>
    </row>
    <row r="97" spans="1:5" x14ac:dyDescent="0.25">
      <c r="A97" s="15" t="s">
        <v>162</v>
      </c>
      <c r="B97" s="6" t="s">
        <v>11</v>
      </c>
      <c r="C97" s="16">
        <v>45031</v>
      </c>
      <c r="D97" s="5" t="s">
        <v>163</v>
      </c>
      <c r="E97" s="5" t="s">
        <v>298</v>
      </c>
    </row>
    <row r="98" spans="1:5" x14ac:dyDescent="0.25">
      <c r="A98" s="15" t="s">
        <v>43</v>
      </c>
      <c r="B98" s="6" t="s">
        <v>11</v>
      </c>
      <c r="C98" s="16">
        <v>45052</v>
      </c>
      <c r="D98" s="5" t="s">
        <v>25</v>
      </c>
      <c r="E98" s="5" t="s">
        <v>166</v>
      </c>
    </row>
    <row r="99" spans="1:5" x14ac:dyDescent="0.25">
      <c r="A99" s="15" t="s">
        <v>30</v>
      </c>
      <c r="B99" s="6" t="s">
        <v>11</v>
      </c>
      <c r="C99" s="16">
        <v>45082</v>
      </c>
      <c r="D99" s="5" t="s">
        <v>25</v>
      </c>
      <c r="E99" s="5" t="s">
        <v>169</v>
      </c>
    </row>
    <row r="100" spans="1:5" x14ac:dyDescent="0.25">
      <c r="A100" s="6" t="s">
        <v>171</v>
      </c>
      <c r="B100" s="6" t="s">
        <v>11</v>
      </c>
      <c r="C100" s="16">
        <v>45099</v>
      </c>
      <c r="D100" s="5" t="s">
        <v>38</v>
      </c>
      <c r="E100" s="5" t="s">
        <v>294</v>
      </c>
    </row>
    <row r="101" spans="1:5" x14ac:dyDescent="0.25">
      <c r="A101" s="15" t="s">
        <v>162</v>
      </c>
      <c r="B101" s="6" t="s">
        <v>11</v>
      </c>
      <c r="C101" s="16">
        <v>45158</v>
      </c>
      <c r="D101" s="5" t="s">
        <v>25</v>
      </c>
      <c r="E101" s="5" t="s">
        <v>173</v>
      </c>
    </row>
    <row r="102" spans="1:5" x14ac:dyDescent="0.25">
      <c r="A102" s="15" t="s">
        <v>174</v>
      </c>
      <c r="B102" s="6" t="s">
        <v>11</v>
      </c>
      <c r="C102" s="16">
        <v>45165</v>
      </c>
      <c r="D102" s="5" t="s">
        <v>175</v>
      </c>
      <c r="E102" s="5" t="s">
        <v>294</v>
      </c>
    </row>
    <row r="103" spans="1:5" x14ac:dyDescent="0.25">
      <c r="A103" s="15" t="s">
        <v>43</v>
      </c>
      <c r="B103" s="6" t="s">
        <v>11</v>
      </c>
      <c r="C103" s="16">
        <v>45185</v>
      </c>
      <c r="D103" s="5" t="s">
        <v>44</v>
      </c>
      <c r="E103" s="5" t="s">
        <v>325</v>
      </c>
    </row>
    <row r="104" spans="1:5" x14ac:dyDescent="0.25">
      <c r="A104" s="15" t="s">
        <v>43</v>
      </c>
      <c r="B104" s="6" t="s">
        <v>11</v>
      </c>
      <c r="C104" s="16">
        <v>45185</v>
      </c>
      <c r="D104" s="5" t="s">
        <v>44</v>
      </c>
      <c r="E104" s="5" t="s">
        <v>210</v>
      </c>
    </row>
    <row r="105" spans="1:5" x14ac:dyDescent="0.25">
      <c r="A105" s="15" t="s">
        <v>43</v>
      </c>
      <c r="B105" s="6" t="s">
        <v>11</v>
      </c>
      <c r="C105" s="16">
        <v>45185</v>
      </c>
      <c r="D105" s="5" t="s">
        <v>44</v>
      </c>
      <c r="E105" s="5" t="s">
        <v>298</v>
      </c>
    </row>
    <row r="106" spans="1:5" x14ac:dyDescent="0.25">
      <c r="A106" s="15" t="s">
        <v>43</v>
      </c>
      <c r="B106" s="6" t="s">
        <v>11</v>
      </c>
      <c r="C106" s="16">
        <v>45185</v>
      </c>
      <c r="D106" s="5" t="s">
        <v>44</v>
      </c>
      <c r="E106" s="5" t="s">
        <v>298</v>
      </c>
    </row>
    <row r="107" spans="1:5" x14ac:dyDescent="0.25">
      <c r="A107" s="6" t="s">
        <v>117</v>
      </c>
      <c r="B107" s="6" t="s">
        <v>11</v>
      </c>
      <c r="C107" s="13">
        <v>45190</v>
      </c>
      <c r="D107" s="5" t="s">
        <v>38</v>
      </c>
      <c r="E107" s="5" t="s">
        <v>326</v>
      </c>
    </row>
    <row r="108" spans="1:5" x14ac:dyDescent="0.25">
      <c r="A108" s="6" t="s">
        <v>117</v>
      </c>
      <c r="B108" s="6" t="s">
        <v>11</v>
      </c>
      <c r="C108" s="13">
        <v>45190</v>
      </c>
      <c r="D108" s="5" t="s">
        <v>38</v>
      </c>
      <c r="E108" s="5" t="s">
        <v>327</v>
      </c>
    </row>
    <row r="109" spans="1:5" x14ac:dyDescent="0.25">
      <c r="A109" s="6" t="s">
        <v>117</v>
      </c>
      <c r="B109" s="6" t="s">
        <v>11</v>
      </c>
      <c r="C109" s="13">
        <v>45190</v>
      </c>
      <c r="D109" s="5" t="s">
        <v>38</v>
      </c>
      <c r="E109" s="5" t="s">
        <v>210</v>
      </c>
    </row>
    <row r="110" spans="1:5" x14ac:dyDescent="0.25">
      <c r="A110" s="6" t="s">
        <v>117</v>
      </c>
      <c r="B110" s="6" t="s">
        <v>11</v>
      </c>
      <c r="C110" s="13">
        <v>45190</v>
      </c>
      <c r="D110" s="5" t="s">
        <v>38</v>
      </c>
      <c r="E110" s="5" t="s">
        <v>210</v>
      </c>
    </row>
    <row r="111" spans="1:5" x14ac:dyDescent="0.25">
      <c r="A111" s="6" t="s">
        <v>117</v>
      </c>
      <c r="B111" s="6" t="s">
        <v>11</v>
      </c>
      <c r="C111" s="13">
        <v>45190</v>
      </c>
      <c r="D111" s="5" t="s">
        <v>38</v>
      </c>
      <c r="E111" s="5" t="s">
        <v>298</v>
      </c>
    </row>
    <row r="112" spans="1:5" x14ac:dyDescent="0.25">
      <c r="A112" s="15" t="s">
        <v>183</v>
      </c>
      <c r="B112" s="6" t="s">
        <v>11</v>
      </c>
      <c r="C112" s="16">
        <v>45206</v>
      </c>
      <c r="D112" s="5" t="s">
        <v>38</v>
      </c>
      <c r="E112" s="5" t="s">
        <v>294</v>
      </c>
    </row>
    <row r="113" spans="1:5" x14ac:dyDescent="0.25">
      <c r="A113" s="15" t="s">
        <v>105</v>
      </c>
      <c r="B113" s="6" t="s">
        <v>11</v>
      </c>
      <c r="C113" s="16">
        <v>45217</v>
      </c>
      <c r="D113" s="5" t="s">
        <v>38</v>
      </c>
      <c r="E113" s="5" t="s">
        <v>184</v>
      </c>
    </row>
    <row r="114" spans="1:5" x14ac:dyDescent="0.25">
      <c r="A114" s="6" t="s">
        <v>30</v>
      </c>
      <c r="B114" s="6" t="s">
        <v>11</v>
      </c>
      <c r="C114" s="16">
        <v>45221</v>
      </c>
      <c r="D114" s="5" t="s">
        <v>25</v>
      </c>
      <c r="E114" s="5" t="s">
        <v>294</v>
      </c>
    </row>
    <row r="115" spans="1:5" x14ac:dyDescent="0.25">
      <c r="A115" s="15" t="s">
        <v>186</v>
      </c>
      <c r="B115" s="6" t="s">
        <v>11</v>
      </c>
      <c r="C115" s="16">
        <v>45225</v>
      </c>
      <c r="D115" s="5" t="s">
        <v>38</v>
      </c>
      <c r="E115" s="5" t="s">
        <v>187</v>
      </c>
    </row>
    <row r="116" spans="1:5" x14ac:dyDescent="0.25">
      <c r="A116" s="6" t="s">
        <v>63</v>
      </c>
      <c r="B116" s="6" t="s">
        <v>11</v>
      </c>
      <c r="C116" s="16">
        <v>45236</v>
      </c>
      <c r="D116" s="17" t="s">
        <v>38</v>
      </c>
      <c r="E116" s="5" t="s">
        <v>189</v>
      </c>
    </row>
    <row r="117" spans="1:5" x14ac:dyDescent="0.25">
      <c r="A117" s="15" t="s">
        <v>190</v>
      </c>
      <c r="B117" s="6" t="s">
        <v>11</v>
      </c>
      <c r="C117" s="16">
        <v>45242</v>
      </c>
      <c r="D117" s="5" t="s">
        <v>38</v>
      </c>
      <c r="E117" s="5" t="s">
        <v>210</v>
      </c>
    </row>
    <row r="118" spans="1:5" x14ac:dyDescent="0.25">
      <c r="A118" s="15" t="s">
        <v>190</v>
      </c>
      <c r="B118" s="6" t="s">
        <v>11</v>
      </c>
      <c r="C118" s="16">
        <v>45242</v>
      </c>
      <c r="D118" s="5" t="s">
        <v>38</v>
      </c>
      <c r="E118" s="5" t="s">
        <v>184</v>
      </c>
    </row>
    <row r="119" spans="1:5" x14ac:dyDescent="0.25">
      <c r="A119" s="15" t="s">
        <v>193</v>
      </c>
      <c r="B119" s="6" t="s">
        <v>11</v>
      </c>
      <c r="C119" s="16">
        <v>45258</v>
      </c>
      <c r="D119" s="5" t="s">
        <v>38</v>
      </c>
      <c r="E119" s="5" t="s">
        <v>301</v>
      </c>
    </row>
    <row r="120" spans="1:5" x14ac:dyDescent="0.25">
      <c r="A120" s="15" t="s">
        <v>193</v>
      </c>
      <c r="B120" s="6" t="s">
        <v>11</v>
      </c>
      <c r="C120" s="16">
        <v>45258</v>
      </c>
      <c r="D120" s="5" t="s">
        <v>38</v>
      </c>
      <c r="E120" s="5" t="s">
        <v>210</v>
      </c>
    </row>
    <row r="121" spans="1:5" x14ac:dyDescent="0.25">
      <c r="A121" s="15" t="s">
        <v>197</v>
      </c>
      <c r="B121" s="6" t="s">
        <v>11</v>
      </c>
      <c r="C121" s="16">
        <v>45266</v>
      </c>
      <c r="D121" s="5" t="s">
        <v>38</v>
      </c>
      <c r="E121" s="5" t="s">
        <v>328</v>
      </c>
    </row>
    <row r="122" spans="1:5" x14ac:dyDescent="0.25">
      <c r="A122" s="15" t="s">
        <v>197</v>
      </c>
      <c r="B122" s="6" t="s">
        <v>11</v>
      </c>
      <c r="C122" s="16">
        <v>45266</v>
      </c>
      <c r="D122" s="5" t="s">
        <v>38</v>
      </c>
      <c r="E122" s="5" t="s">
        <v>173</v>
      </c>
    </row>
    <row r="123" spans="1:5" x14ac:dyDescent="0.25">
      <c r="A123" s="15" t="s">
        <v>152</v>
      </c>
      <c r="B123" s="6" t="s">
        <v>31</v>
      </c>
      <c r="C123" s="16">
        <v>45302</v>
      </c>
      <c r="D123" s="5" t="s">
        <v>38</v>
      </c>
      <c r="E123" s="5" t="s">
        <v>160</v>
      </c>
    </row>
    <row r="124" spans="1:5" x14ac:dyDescent="0.25">
      <c r="A124" s="15" t="s">
        <v>152</v>
      </c>
      <c r="B124" s="6" t="s">
        <v>31</v>
      </c>
      <c r="C124" s="16">
        <v>45302</v>
      </c>
      <c r="D124" s="5" t="s">
        <v>38</v>
      </c>
      <c r="E124" s="5" t="s">
        <v>329</v>
      </c>
    </row>
    <row r="125" spans="1:5" x14ac:dyDescent="0.25">
      <c r="A125" s="15" t="s">
        <v>120</v>
      </c>
      <c r="B125" s="6" t="s">
        <v>31</v>
      </c>
      <c r="C125" s="16">
        <v>45309</v>
      </c>
      <c r="D125" s="5" t="s">
        <v>38</v>
      </c>
      <c r="E125" s="5" t="s">
        <v>330</v>
      </c>
    </row>
    <row r="126" spans="1:5" x14ac:dyDescent="0.25">
      <c r="A126" s="15" t="s">
        <v>120</v>
      </c>
      <c r="B126" s="6" t="s">
        <v>31</v>
      </c>
      <c r="C126" s="16">
        <v>45309</v>
      </c>
      <c r="D126" s="5" t="s">
        <v>38</v>
      </c>
      <c r="E126" s="5" t="s">
        <v>246</v>
      </c>
    </row>
    <row r="127" spans="1:5" x14ac:dyDescent="0.25">
      <c r="A127" s="15" t="s">
        <v>30</v>
      </c>
      <c r="B127" s="6" t="s">
        <v>31</v>
      </c>
      <c r="C127" s="16">
        <v>45326</v>
      </c>
      <c r="D127" s="5" t="s">
        <v>25</v>
      </c>
      <c r="E127" s="5" t="s">
        <v>294</v>
      </c>
    </row>
    <row r="128" spans="1:5" x14ac:dyDescent="0.25">
      <c r="A128" s="6" t="s">
        <v>43</v>
      </c>
      <c r="B128" s="6" t="s">
        <v>31</v>
      </c>
      <c r="C128" s="16">
        <v>45339</v>
      </c>
      <c r="D128" s="5" t="s">
        <v>25</v>
      </c>
      <c r="E128" s="5" t="s">
        <v>294</v>
      </c>
    </row>
    <row r="129" spans="1:5" x14ac:dyDescent="0.25">
      <c r="A129" s="15" t="s">
        <v>202</v>
      </c>
      <c r="B129" s="6" t="s">
        <v>85</v>
      </c>
      <c r="C129" s="16">
        <v>45358</v>
      </c>
      <c r="D129" s="5" t="s">
        <v>38</v>
      </c>
      <c r="E129" s="5" t="s">
        <v>331</v>
      </c>
    </row>
    <row r="130" spans="1:5" x14ac:dyDescent="0.25">
      <c r="A130" s="15" t="s">
        <v>202</v>
      </c>
      <c r="B130" s="6" t="s">
        <v>85</v>
      </c>
      <c r="C130" s="16">
        <v>45358</v>
      </c>
      <c r="D130" s="5" t="s">
        <v>38</v>
      </c>
      <c r="E130" s="5" t="s">
        <v>210</v>
      </c>
    </row>
    <row r="131" spans="1:5" x14ac:dyDescent="0.25">
      <c r="A131" s="15" t="s">
        <v>202</v>
      </c>
      <c r="B131" s="6" t="s">
        <v>85</v>
      </c>
      <c r="C131" s="16">
        <v>45358</v>
      </c>
      <c r="D131" s="5" t="s">
        <v>38</v>
      </c>
      <c r="E131" s="5" t="s">
        <v>207</v>
      </c>
    </row>
    <row r="132" spans="1:5" x14ac:dyDescent="0.25">
      <c r="A132" s="15" t="s">
        <v>206</v>
      </c>
      <c r="B132" s="6" t="s">
        <v>31</v>
      </c>
      <c r="C132" s="16">
        <v>45361</v>
      </c>
      <c r="D132" s="5" t="s">
        <v>25</v>
      </c>
      <c r="E132" s="5" t="s">
        <v>207</v>
      </c>
    </row>
    <row r="133" spans="1:5" x14ac:dyDescent="0.25">
      <c r="A133" s="15" t="s">
        <v>206</v>
      </c>
      <c r="B133" s="6" t="s">
        <v>31</v>
      </c>
      <c r="C133" s="16">
        <v>45368</v>
      </c>
      <c r="D133" s="5" t="s">
        <v>25</v>
      </c>
      <c r="E133" s="5" t="s">
        <v>294</v>
      </c>
    </row>
    <row r="134" spans="1:5" x14ac:dyDescent="0.25">
      <c r="A134" s="15" t="s">
        <v>43</v>
      </c>
      <c r="B134" s="6" t="s">
        <v>11</v>
      </c>
      <c r="C134" s="16">
        <v>45402</v>
      </c>
      <c r="D134" s="5" t="s">
        <v>25</v>
      </c>
      <c r="E134" s="5" t="s">
        <v>210</v>
      </c>
    </row>
    <row r="135" spans="1:5" x14ac:dyDescent="0.25">
      <c r="A135" s="15" t="s">
        <v>212</v>
      </c>
      <c r="B135" s="6" t="s">
        <v>11</v>
      </c>
      <c r="C135" s="16">
        <v>45409</v>
      </c>
      <c r="D135" s="5" t="s">
        <v>38</v>
      </c>
      <c r="E135" s="5" t="s">
        <v>294</v>
      </c>
    </row>
    <row r="136" spans="1:5" x14ac:dyDescent="0.25">
      <c r="A136" s="15" t="s">
        <v>215</v>
      </c>
      <c r="B136" s="6" t="s">
        <v>11</v>
      </c>
      <c r="C136" s="13">
        <v>45424</v>
      </c>
      <c r="D136" s="5" t="s">
        <v>38</v>
      </c>
      <c r="E136" s="5" t="s">
        <v>332</v>
      </c>
    </row>
    <row r="137" spans="1:5" x14ac:dyDescent="0.25">
      <c r="A137" s="15" t="s">
        <v>215</v>
      </c>
      <c r="B137" s="6" t="s">
        <v>11</v>
      </c>
      <c r="C137" s="13">
        <v>45424</v>
      </c>
      <c r="D137" s="5" t="s">
        <v>38</v>
      </c>
      <c r="E137" s="5" t="s">
        <v>210</v>
      </c>
    </row>
    <row r="138" spans="1:5" x14ac:dyDescent="0.25">
      <c r="A138" s="15" t="s">
        <v>30</v>
      </c>
      <c r="B138" s="6" t="s">
        <v>11</v>
      </c>
      <c r="C138" s="16">
        <v>45445</v>
      </c>
      <c r="D138" s="5" t="s">
        <v>25</v>
      </c>
      <c r="E138" s="5" t="s">
        <v>210</v>
      </c>
    </row>
    <row r="139" spans="1:5" x14ac:dyDescent="0.25">
      <c r="A139" s="15" t="s">
        <v>105</v>
      </c>
      <c r="B139" s="6" t="s">
        <v>11</v>
      </c>
      <c r="C139" s="16">
        <v>45476</v>
      </c>
      <c r="D139" s="5" t="s">
        <v>38</v>
      </c>
      <c r="E139" s="5" t="s">
        <v>333</v>
      </c>
    </row>
    <row r="140" spans="1:5" x14ac:dyDescent="0.25">
      <c r="A140" s="15" t="s">
        <v>105</v>
      </c>
      <c r="B140" s="6" t="s">
        <v>11</v>
      </c>
      <c r="C140" s="16">
        <v>45476</v>
      </c>
      <c r="D140" s="5" t="s">
        <v>38</v>
      </c>
      <c r="E140" s="5" t="s">
        <v>210</v>
      </c>
    </row>
    <row r="141" spans="1:5" x14ac:dyDescent="0.25">
      <c r="A141" s="6" t="s">
        <v>193</v>
      </c>
      <c r="B141" s="6" t="s">
        <v>11</v>
      </c>
      <c r="C141" s="16">
        <v>45483</v>
      </c>
      <c r="D141" s="5" t="s">
        <v>38</v>
      </c>
      <c r="E141" s="5" t="s">
        <v>207</v>
      </c>
    </row>
    <row r="142" spans="1:5" x14ac:dyDescent="0.25">
      <c r="A142" s="6" t="s">
        <v>193</v>
      </c>
      <c r="B142" s="6" t="s">
        <v>11</v>
      </c>
      <c r="C142" s="16">
        <v>45483</v>
      </c>
      <c r="D142" s="5" t="s">
        <v>38</v>
      </c>
      <c r="E142" s="5" t="s">
        <v>334</v>
      </c>
    </row>
    <row r="143" spans="1:5" x14ac:dyDescent="0.25">
      <c r="A143" s="26" t="s">
        <v>197</v>
      </c>
      <c r="B143" s="27" t="s">
        <v>11</v>
      </c>
      <c r="C143" s="28">
        <v>45507</v>
      </c>
      <c r="D143" s="5" t="s">
        <v>38</v>
      </c>
      <c r="E143" s="5" t="s">
        <v>335</v>
      </c>
    </row>
    <row r="144" spans="1:5" x14ac:dyDescent="0.25">
      <c r="A144" s="26" t="s">
        <v>197</v>
      </c>
      <c r="B144" s="27" t="s">
        <v>11</v>
      </c>
      <c r="C144" s="28">
        <v>45507</v>
      </c>
      <c r="D144" s="5" t="s">
        <v>38</v>
      </c>
      <c r="E144" s="5" t="s">
        <v>336</v>
      </c>
    </row>
    <row r="145" spans="1:5" x14ac:dyDescent="0.25">
      <c r="A145" s="26" t="s">
        <v>58</v>
      </c>
      <c r="B145" s="27" t="s">
        <v>85</v>
      </c>
      <c r="C145" s="28">
        <v>45510</v>
      </c>
      <c r="D145" s="5" t="s">
        <v>38</v>
      </c>
      <c r="E145" s="5" t="s">
        <v>207</v>
      </c>
    </row>
    <row r="146" spans="1:5" x14ac:dyDescent="0.25">
      <c r="A146" s="29" t="s">
        <v>43</v>
      </c>
      <c r="B146" s="30" t="s">
        <v>11</v>
      </c>
      <c r="C146" s="31">
        <v>45514</v>
      </c>
      <c r="D146" s="32" t="s">
        <v>44</v>
      </c>
      <c r="E146" s="5" t="s">
        <v>210</v>
      </c>
    </row>
    <row r="147" spans="1:5" x14ac:dyDescent="0.25">
      <c r="A147" s="29" t="s">
        <v>43</v>
      </c>
      <c r="B147" s="30" t="s">
        <v>11</v>
      </c>
      <c r="C147" s="31">
        <v>45514</v>
      </c>
      <c r="D147" s="32" t="s">
        <v>44</v>
      </c>
      <c r="E147" s="5" t="s">
        <v>337</v>
      </c>
    </row>
    <row r="148" spans="1:5" x14ac:dyDescent="0.25">
      <c r="A148" s="29" t="s">
        <v>34</v>
      </c>
      <c r="B148" s="30" t="s">
        <v>11</v>
      </c>
      <c r="C148" s="31">
        <v>45530</v>
      </c>
      <c r="D148" s="32" t="s">
        <v>38</v>
      </c>
      <c r="E148" s="5" t="s">
        <v>309</v>
      </c>
    </row>
    <row r="149" spans="1:5" x14ac:dyDescent="0.25">
      <c r="A149" s="29" t="s">
        <v>34</v>
      </c>
      <c r="B149" s="30" t="s">
        <v>11</v>
      </c>
      <c r="C149" s="31">
        <v>45530</v>
      </c>
      <c r="D149" s="32" t="s">
        <v>38</v>
      </c>
      <c r="E149" s="5" t="s">
        <v>210</v>
      </c>
    </row>
    <row r="150" spans="1:5" x14ac:dyDescent="0.25">
      <c r="A150" s="29" t="s">
        <v>34</v>
      </c>
      <c r="B150" s="27" t="s">
        <v>85</v>
      </c>
      <c r="C150" s="31">
        <v>45533</v>
      </c>
      <c r="D150" s="32" t="s">
        <v>38</v>
      </c>
      <c r="E150" s="5" t="s">
        <v>301</v>
      </c>
    </row>
    <row r="151" spans="1:5" x14ac:dyDescent="0.25">
      <c r="A151" s="29" t="s">
        <v>34</v>
      </c>
      <c r="B151" s="27" t="s">
        <v>85</v>
      </c>
      <c r="C151" s="31">
        <v>45533</v>
      </c>
      <c r="D151" s="32" t="s">
        <v>38</v>
      </c>
      <c r="E151" s="5" t="s">
        <v>232</v>
      </c>
    </row>
    <row r="152" spans="1:5" x14ac:dyDescent="0.25">
      <c r="A152" s="29" t="s">
        <v>229</v>
      </c>
      <c r="B152" s="30" t="s">
        <v>11</v>
      </c>
      <c r="C152" s="31">
        <v>45570</v>
      </c>
      <c r="D152" s="32" t="s">
        <v>38</v>
      </c>
      <c r="E152" s="5" t="s">
        <v>184</v>
      </c>
    </row>
    <row r="153" spans="1:5" x14ac:dyDescent="0.25">
      <c r="A153" s="26" t="s">
        <v>231</v>
      </c>
      <c r="B153" s="27" t="s">
        <v>11</v>
      </c>
      <c r="C153" s="28">
        <v>45589</v>
      </c>
      <c r="D153" s="33" t="s">
        <v>38</v>
      </c>
      <c r="E153" s="5" t="s">
        <v>232</v>
      </c>
    </row>
    <row r="154" spans="1:5" x14ac:dyDescent="0.25">
      <c r="A154" s="29" t="s">
        <v>55</v>
      </c>
      <c r="B154" s="30" t="s">
        <v>11</v>
      </c>
      <c r="C154" s="31">
        <v>45593</v>
      </c>
      <c r="D154" s="32" t="s">
        <v>38</v>
      </c>
      <c r="E154" s="5" t="s">
        <v>309</v>
      </c>
    </row>
    <row r="155" spans="1:5" x14ac:dyDescent="0.25">
      <c r="A155" s="29" t="s">
        <v>55</v>
      </c>
      <c r="B155" s="30" t="s">
        <v>11</v>
      </c>
      <c r="C155" s="31">
        <v>45593</v>
      </c>
      <c r="D155" s="32" t="s">
        <v>38</v>
      </c>
      <c r="E155" s="5" t="s">
        <v>184</v>
      </c>
    </row>
    <row r="156" spans="1:5" x14ac:dyDescent="0.25">
      <c r="A156" s="29" t="s">
        <v>55</v>
      </c>
      <c r="B156" s="30" t="s">
        <v>11</v>
      </c>
      <c r="C156" s="31">
        <v>45593</v>
      </c>
      <c r="D156" s="32" t="s">
        <v>38</v>
      </c>
      <c r="E156" s="5" t="s">
        <v>184</v>
      </c>
    </row>
    <row r="157" spans="1:5" x14ac:dyDescent="0.25">
      <c r="A157" s="6" t="s">
        <v>236</v>
      </c>
      <c r="B157" s="6" t="s">
        <v>11</v>
      </c>
      <c r="C157" t="s">
        <v>339</v>
      </c>
      <c r="D157" s="5" t="s">
        <v>38</v>
      </c>
      <c r="E157" s="5" t="s">
        <v>210</v>
      </c>
    </row>
    <row r="158" spans="1:5" x14ac:dyDescent="0.25">
      <c r="A158" s="6" t="s">
        <v>236</v>
      </c>
      <c r="B158" s="6" t="s">
        <v>11</v>
      </c>
      <c r="C158" s="31">
        <v>45630</v>
      </c>
      <c r="D158" s="5" t="s">
        <v>38</v>
      </c>
      <c r="E158" s="5" t="s">
        <v>340</v>
      </c>
    </row>
    <row r="159" spans="1:5" x14ac:dyDescent="0.25">
      <c r="A159" t="s">
        <v>341</v>
      </c>
      <c r="B159" t="s">
        <v>31</v>
      </c>
      <c r="C159" s="35">
        <v>45687</v>
      </c>
      <c r="D159" s="34" t="s">
        <v>38</v>
      </c>
      <c r="E159" s="34" t="s">
        <v>189</v>
      </c>
    </row>
    <row r="160" spans="1:5" x14ac:dyDescent="0.25">
      <c r="A160" s="46" t="s">
        <v>37</v>
      </c>
      <c r="B160" s="47" t="s">
        <v>11</v>
      </c>
      <c r="C160" s="35">
        <v>45746</v>
      </c>
      <c r="D160" s="34" t="s">
        <v>38</v>
      </c>
      <c r="E160" s="34" t="s">
        <v>338</v>
      </c>
    </row>
    <row r="161" spans="1:5" x14ac:dyDescent="0.25">
      <c r="A161" s="46" t="s">
        <v>37</v>
      </c>
      <c r="B161" s="47" t="s">
        <v>11</v>
      </c>
      <c r="C161" s="35">
        <v>45746</v>
      </c>
      <c r="D161" s="34" t="s">
        <v>38</v>
      </c>
      <c r="E161" s="34" t="s">
        <v>210</v>
      </c>
    </row>
    <row r="162" spans="1:5" x14ac:dyDescent="0.25">
      <c r="A162" s="46" t="s">
        <v>241</v>
      </c>
      <c r="B162" s="47" t="s">
        <v>114</v>
      </c>
      <c r="C162" s="35">
        <v>45755</v>
      </c>
      <c r="D162" s="34" t="s">
        <v>38</v>
      </c>
      <c r="E162" s="34" t="s">
        <v>210</v>
      </c>
    </row>
    <row r="163" spans="1:5" x14ac:dyDescent="0.25">
      <c r="A163" s="48" t="s">
        <v>245</v>
      </c>
      <c r="B163" s="49" t="s">
        <v>85</v>
      </c>
      <c r="C163" s="35">
        <v>45797</v>
      </c>
      <c r="D163" s="34" t="s">
        <v>38</v>
      </c>
      <c r="E163" s="34" t="s">
        <v>246</v>
      </c>
    </row>
    <row r="164" spans="1:5" x14ac:dyDescent="0.25">
      <c r="A164" s="48" t="s">
        <v>248</v>
      </c>
      <c r="B164" s="49" t="s">
        <v>114</v>
      </c>
      <c r="C164" s="35">
        <v>45860</v>
      </c>
      <c r="D164" s="34" t="s">
        <v>38</v>
      </c>
      <c r="E164" s="34" t="s">
        <v>210</v>
      </c>
    </row>
    <row r="165" spans="1:5" x14ac:dyDescent="0.25">
      <c r="A165" s="48" t="s">
        <v>63</v>
      </c>
      <c r="B165" s="49" t="s">
        <v>85</v>
      </c>
      <c r="C165" s="50">
        <v>45896</v>
      </c>
      <c r="D165" s="51" t="s">
        <v>38</v>
      </c>
      <c r="E165" s="34" t="s">
        <v>169</v>
      </c>
    </row>
  </sheetData>
  <autoFilter ref="A1:E156" xr:uid="{00EAF8E8-D01D-408C-9FE6-161B2A44B31A}"/>
  <sortState ref="H2:I66">
    <sortCondition descending="1" ref="I2:I66"/>
  </sortState>
  <conditionalFormatting sqref="A157:B158 D157:E158">
    <cfRule type="expression" dxfId="41" priority="24">
      <formula>MOD(ROW(),2)=0</formula>
    </cfRule>
  </conditionalFormatting>
  <conditionalFormatting sqref="A1:E156 D159:E162 E165">
    <cfRule type="expression" dxfId="40" priority="25">
      <formula>MOD(ROW(),2)=0</formula>
    </cfRule>
  </conditionalFormatting>
  <conditionalFormatting sqref="C158">
    <cfRule type="expression" dxfId="39" priority="21">
      <formula>MOD(ROW(),2)=0</formula>
    </cfRule>
  </conditionalFormatting>
  <conditionalFormatting sqref="H2:H66">
    <cfRule type="expression" dxfId="38" priority="35">
      <formula>MOD(ROW(),2)=0</formula>
    </cfRule>
  </conditionalFormatting>
  <conditionalFormatting sqref="J5">
    <cfRule type="expression" dxfId="37" priority="49">
      <formula>MOD(ROW(),2)=0</formula>
    </cfRule>
  </conditionalFormatting>
  <conditionalFormatting sqref="C159:C160">
    <cfRule type="expression" dxfId="36" priority="20">
      <formula>MOD(ROW(),2)=0</formula>
    </cfRule>
  </conditionalFormatting>
  <conditionalFormatting sqref="C160">
    <cfRule type="expression" dxfId="35" priority="19">
      <formula>MOD(ROW(),2)=0</formula>
    </cfRule>
  </conditionalFormatting>
  <conditionalFormatting sqref="C161">
    <cfRule type="expression" dxfId="34" priority="18">
      <formula>MOD(ROW(),2)=0</formula>
    </cfRule>
  </conditionalFormatting>
  <conditionalFormatting sqref="C161">
    <cfRule type="expression" dxfId="33" priority="17">
      <formula>MOD(ROW(),2)=0</formula>
    </cfRule>
  </conditionalFormatting>
  <conditionalFormatting sqref="C162">
    <cfRule type="expression" dxfId="32" priority="16">
      <formula>MOD(ROW(),2)=0</formula>
    </cfRule>
  </conditionalFormatting>
  <conditionalFormatting sqref="C162">
    <cfRule type="expression" dxfId="31" priority="15">
      <formula>MOD(ROW(),2)=0</formula>
    </cfRule>
  </conditionalFormatting>
  <conditionalFormatting sqref="H67">
    <cfRule type="expression" dxfId="30" priority="14">
      <formula>MOD(ROW(),2)=0</formula>
    </cfRule>
  </conditionalFormatting>
  <conditionalFormatting sqref="D163:E163">
    <cfRule type="expression" dxfId="29" priority="13">
      <formula>MOD(ROW(),2)=0</formula>
    </cfRule>
  </conditionalFormatting>
  <conditionalFormatting sqref="C163:C164">
    <cfRule type="expression" dxfId="28" priority="12">
      <formula>MOD(ROW(),2)=0</formula>
    </cfRule>
  </conditionalFormatting>
  <conditionalFormatting sqref="C163:C164">
    <cfRule type="expression" dxfId="27" priority="11">
      <formula>MOD(ROW(),2)=0</formula>
    </cfRule>
  </conditionalFormatting>
  <conditionalFormatting sqref="A160:B160">
    <cfRule type="expression" dxfId="26" priority="10">
      <formula>MOD(ROW(),2)=0</formula>
    </cfRule>
  </conditionalFormatting>
  <conditionalFormatting sqref="B160">
    <cfRule type="expression" dxfId="25" priority="9">
      <formula>MOD(ROW(),2)=0</formula>
    </cfRule>
  </conditionalFormatting>
  <conditionalFormatting sqref="A161:B161">
    <cfRule type="expression" dxfId="24" priority="8">
      <formula>MOD(ROW(),2)=0</formula>
    </cfRule>
  </conditionalFormatting>
  <conditionalFormatting sqref="B161">
    <cfRule type="expression" dxfId="23" priority="7">
      <formula>MOD(ROW(),2)=0</formula>
    </cfRule>
  </conditionalFormatting>
  <conditionalFormatting sqref="A162:B163">
    <cfRule type="expression" dxfId="22" priority="6">
      <formula>MOD(ROW(),2)=0</formula>
    </cfRule>
  </conditionalFormatting>
  <conditionalFormatting sqref="B162">
    <cfRule type="expression" dxfId="21" priority="5">
      <formula>MOD(ROW(),2)=0</formula>
    </cfRule>
  </conditionalFormatting>
  <conditionalFormatting sqref="A164:B164">
    <cfRule type="expression" dxfId="20" priority="4">
      <formula>MOD(ROW(),2)=0</formula>
    </cfRule>
  </conditionalFormatting>
  <conditionalFormatting sqref="D164:E164">
    <cfRule type="expression" dxfId="19" priority="3">
      <formula>MOD(ROW(),2)=0</formula>
    </cfRule>
  </conditionalFormatting>
  <conditionalFormatting sqref="A165:B165">
    <cfRule type="expression" dxfId="1" priority="2">
      <formula>MOD(ROW(),2)=0</formula>
    </cfRule>
  </conditionalFormatting>
  <conditionalFormatting sqref="C165:D165">
    <cfRule type="expression" dxfId="0" priority="1">
      <formula>MOD(ROW(),2)=0</formula>
    </cfRule>
  </conditionalFormatting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6D05847-6569-4EF9-AA64-7E11A36780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BaseJogos</vt:lpstr>
      <vt:lpstr>Planilha4</vt:lpstr>
      <vt:lpstr>Nomes (2)</vt:lpstr>
      <vt:lpstr>Gols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PC Gamer</dc:creator>
  <cp:keywords/>
  <dc:description/>
  <cp:lastModifiedBy>Gabriel  Weber</cp:lastModifiedBy>
  <cp:revision/>
  <dcterms:created xsi:type="dcterms:W3CDTF">2019-10-26T01:31:37Z</dcterms:created>
  <dcterms:modified xsi:type="dcterms:W3CDTF">2025-08-31T17:09:27Z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ad58c76-fd94-422c-84ae-5930ae9e51dd_Enabled">
    <vt:lpwstr>true</vt:lpwstr>
  </property>
  <property fmtid="{D5CDD505-2E9C-101B-9397-08002B2CF9AE}" pid="3" name="MSIP_Label_cad58c76-fd94-422c-84ae-5930ae9e51dd_SetDate">
    <vt:lpwstr>2024-08-09T15:15:28Z</vt:lpwstr>
  </property>
  <property fmtid="{D5CDD505-2E9C-101B-9397-08002B2CF9AE}" pid="4" name="MSIP_Label_cad58c76-fd94-422c-84ae-5930ae9e51dd_Method">
    <vt:lpwstr>Privileged</vt:lpwstr>
  </property>
  <property fmtid="{D5CDD505-2E9C-101B-9397-08002B2CF9AE}" pid="5" name="MSIP_Label_cad58c76-fd94-422c-84ae-5930ae9e51dd_Name">
    <vt:lpwstr>Pública</vt:lpwstr>
  </property>
  <property fmtid="{D5CDD505-2E9C-101B-9397-08002B2CF9AE}" pid="6" name="MSIP_Label_cad58c76-fd94-422c-84ae-5930ae9e51dd_SiteId">
    <vt:lpwstr>72b5f416-8f41-4c88-a6a0-bb4b91383888</vt:lpwstr>
  </property>
  <property fmtid="{D5CDD505-2E9C-101B-9397-08002B2CF9AE}" pid="7" name="MSIP_Label_cad58c76-fd94-422c-84ae-5930ae9e51dd_ActionId">
    <vt:lpwstr>61e6a757-125e-4ad3-a97f-44b398fb5cb5</vt:lpwstr>
  </property>
  <property fmtid="{D5CDD505-2E9C-101B-9397-08002B2CF9AE}" pid="8" name="MSIP_Label_cad58c76-fd94-422c-84ae-5930ae9e51dd_ContentBits">
    <vt:lpwstr>0</vt:lpwstr>
  </property>
</Properties>
</file>